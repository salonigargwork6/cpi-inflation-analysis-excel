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589B6E2D-3804-43A5-8961-419CE3AD8784}" xr6:coauthVersionLast="47" xr6:coauthVersionMax="47" xr10:uidLastSave="{00000000-0000-0000-0000-000000000000}"/>
  <bookViews>
    <workbookView xWindow="-108" yWindow="-108" windowWidth="23256" windowHeight="12456" activeTab="1" xr2:uid="{3704623B-FB6D-4274-BC11-D54222ADD296}"/>
  </bookViews>
  <sheets>
    <sheet name="1" sheetId="3" r:id="rId1"/>
    <sheet name="2" sheetId="2" r:id="rId2"/>
    <sheet name="3" sheetId="4" r:id="rId3"/>
    <sheet name="4" sheetId="5" r:id="rId4"/>
    <sheet name="5" sheetId="7" r:id="rId5"/>
    <sheet name="All_India_Index_Upto_April23 (1" sheetId="1" r:id="rId6"/>
  </sheets>
  <definedNames>
    <definedName name="_xlnm._FilterDatabase" localSheetId="5" hidden="1">'All_India_Index_Upto_April23 (1'!$A$1:$AI$373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C3" i="7"/>
  <c r="D3" i="7"/>
  <c r="E3" i="7"/>
  <c r="F3" i="7"/>
  <c r="G3" i="7"/>
  <c r="H3" i="7"/>
  <c r="I3" i="7"/>
  <c r="C4" i="7"/>
  <c r="D4" i="7"/>
  <c r="E4" i="7"/>
  <c r="F4" i="7"/>
  <c r="G4" i="7"/>
  <c r="H4" i="7"/>
  <c r="I4" i="7"/>
  <c r="C5" i="7"/>
  <c r="D5" i="7"/>
  <c r="E5" i="7"/>
  <c r="F5" i="7"/>
  <c r="G5" i="7"/>
  <c r="H5" i="7"/>
  <c r="I5" i="7"/>
  <c r="C6" i="7"/>
  <c r="D6" i="7"/>
  <c r="E6" i="7"/>
  <c r="F6" i="7"/>
  <c r="G6" i="7"/>
  <c r="H6" i="7"/>
  <c r="I6" i="7"/>
  <c r="C7" i="7"/>
  <c r="D7" i="7"/>
  <c r="E7" i="7"/>
  <c r="F7" i="7"/>
  <c r="G7" i="7"/>
  <c r="H7" i="7"/>
  <c r="I7" i="7"/>
  <c r="C8" i="7"/>
  <c r="D8" i="7"/>
  <c r="E8" i="7"/>
  <c r="F8" i="7"/>
  <c r="G8" i="7"/>
  <c r="H8" i="7"/>
  <c r="I8" i="7"/>
  <c r="C9" i="7"/>
  <c r="D9" i="7"/>
  <c r="E9" i="7"/>
  <c r="F9" i="7"/>
  <c r="G9" i="7"/>
  <c r="H9" i="7"/>
  <c r="I9" i="7"/>
  <c r="C10" i="7"/>
  <c r="D10" i="7"/>
  <c r="E10" i="7"/>
  <c r="F10" i="7"/>
  <c r="G10" i="7"/>
  <c r="H10" i="7"/>
  <c r="I10" i="7"/>
  <c r="C11" i="7"/>
  <c r="D11" i="7"/>
  <c r="E11" i="7"/>
  <c r="F11" i="7"/>
  <c r="G11" i="7"/>
  <c r="H11" i="7"/>
  <c r="I11" i="7"/>
  <c r="C12" i="7"/>
  <c r="D12" i="7"/>
  <c r="E12" i="7"/>
  <c r="F12" i="7"/>
  <c r="G12" i="7"/>
  <c r="H12" i="7"/>
  <c r="I12" i="7"/>
  <c r="C13" i="7"/>
  <c r="D13" i="7"/>
  <c r="E13" i="7"/>
  <c r="F13" i="7"/>
  <c r="G13" i="7"/>
  <c r="H13" i="7"/>
  <c r="I13" i="7"/>
  <c r="C14" i="7"/>
  <c r="D14" i="7"/>
  <c r="E14" i="7"/>
  <c r="F14" i="7"/>
  <c r="G14" i="7"/>
  <c r="H14" i="7"/>
  <c r="I14" i="7"/>
  <c r="C15" i="7"/>
  <c r="D15" i="7"/>
  <c r="E15" i="7"/>
  <c r="F15" i="7"/>
  <c r="G15" i="7"/>
  <c r="H15" i="7"/>
  <c r="I15" i="7"/>
  <c r="C16" i="7"/>
  <c r="D16" i="7"/>
  <c r="E16" i="7"/>
  <c r="F16" i="7"/>
  <c r="G16" i="7"/>
  <c r="H16" i="7"/>
  <c r="I16" i="7"/>
  <c r="C17" i="7"/>
  <c r="D17" i="7"/>
  <c r="E17" i="7"/>
  <c r="F17" i="7"/>
  <c r="G17" i="7"/>
  <c r="H17" i="7"/>
  <c r="I17" i="7"/>
  <c r="C18" i="7"/>
  <c r="D18" i="7"/>
  <c r="E18" i="7"/>
  <c r="F18" i="7"/>
  <c r="G18" i="7"/>
  <c r="H18" i="7"/>
  <c r="I18" i="7"/>
  <c r="C19" i="7"/>
  <c r="D19" i="7"/>
  <c r="E19" i="7"/>
  <c r="F19" i="7"/>
  <c r="G19" i="7"/>
  <c r="H19" i="7"/>
  <c r="I19" i="7"/>
  <c r="C20" i="7"/>
  <c r="D20" i="7"/>
  <c r="E20" i="7"/>
  <c r="F20" i="7"/>
  <c r="G20" i="7"/>
  <c r="H20" i="7"/>
  <c r="I20" i="7"/>
  <c r="C21" i="7"/>
  <c r="D21" i="7"/>
  <c r="E21" i="7"/>
  <c r="F21" i="7"/>
  <c r="G21" i="7"/>
  <c r="H21" i="7"/>
  <c r="I21" i="7"/>
  <c r="C22" i="7"/>
  <c r="D22" i="7"/>
  <c r="E22" i="7"/>
  <c r="F22" i="7"/>
  <c r="G22" i="7"/>
  <c r="H22" i="7"/>
  <c r="I22" i="7"/>
  <c r="C23" i="7"/>
  <c r="D23" i="7"/>
  <c r="E23" i="7"/>
  <c r="F23" i="7"/>
  <c r="G23" i="7"/>
  <c r="H23" i="7"/>
  <c r="I23" i="7"/>
  <c r="C24" i="7"/>
  <c r="D24" i="7"/>
  <c r="E24" i="7"/>
  <c r="F24" i="7"/>
  <c r="G24" i="7"/>
  <c r="H24" i="7"/>
  <c r="I24" i="7"/>
  <c r="C25" i="7"/>
  <c r="D25" i="7"/>
  <c r="E25" i="7"/>
  <c r="F25" i="7"/>
  <c r="G25" i="7"/>
  <c r="H25" i="7"/>
  <c r="I25" i="7"/>
  <c r="C26" i="7"/>
  <c r="D26" i="7"/>
  <c r="E26" i="7"/>
  <c r="F26" i="7"/>
  <c r="G26" i="7"/>
  <c r="H26" i="7"/>
  <c r="I26" i="7"/>
  <c r="C27" i="7"/>
  <c r="D27" i="7"/>
  <c r="E27" i="7"/>
  <c r="F27" i="7"/>
  <c r="G27" i="7"/>
  <c r="H27" i="7"/>
  <c r="I27" i="7"/>
  <c r="C28" i="7"/>
  <c r="D28" i="7"/>
  <c r="E28" i="7"/>
  <c r="F28" i="7"/>
  <c r="G28" i="7"/>
  <c r="H28" i="7"/>
  <c r="I28" i="7"/>
  <c r="C29" i="7"/>
  <c r="D29" i="7"/>
  <c r="E29" i="7"/>
  <c r="F29" i="7"/>
  <c r="G29" i="7"/>
  <c r="H29" i="7"/>
  <c r="I29" i="7"/>
  <c r="C30" i="7"/>
  <c r="D30" i="7"/>
  <c r="E30" i="7"/>
  <c r="F30" i="7"/>
  <c r="G30" i="7"/>
  <c r="H30" i="7"/>
  <c r="I30" i="7"/>
  <c r="C31" i="7"/>
  <c r="D31" i="7"/>
  <c r="E31" i="7"/>
  <c r="F31" i="7"/>
  <c r="G31" i="7"/>
  <c r="H31" i="7"/>
  <c r="I31" i="7"/>
  <c r="C32" i="7"/>
  <c r="D32" i="7"/>
  <c r="E32" i="7"/>
  <c r="F32" i="7"/>
  <c r="G32" i="7"/>
  <c r="H32" i="7"/>
  <c r="I32" i="7"/>
  <c r="C33" i="7"/>
  <c r="D33" i="7"/>
  <c r="E33" i="7"/>
  <c r="F33" i="7"/>
  <c r="G33" i="7"/>
  <c r="H33" i="7"/>
  <c r="I33" i="7"/>
  <c r="C34" i="7"/>
  <c r="D34" i="7"/>
  <c r="E34" i="7"/>
  <c r="F34" i="7"/>
  <c r="G34" i="7"/>
  <c r="H34" i="7"/>
  <c r="I34" i="7"/>
  <c r="C35" i="7"/>
  <c r="D35" i="7"/>
  <c r="E35" i="7"/>
  <c r="F35" i="7"/>
  <c r="G35" i="7"/>
  <c r="H35" i="7"/>
  <c r="I35" i="7"/>
  <c r="C36" i="7"/>
  <c r="D36" i="7"/>
  <c r="E36" i="7"/>
  <c r="F36" i="7"/>
  <c r="G36" i="7"/>
  <c r="H36" i="7"/>
  <c r="I36" i="7"/>
  <c r="C37" i="7"/>
  <c r="D37" i="7"/>
  <c r="E37" i="7"/>
  <c r="F37" i="7"/>
  <c r="G37" i="7"/>
  <c r="H37" i="7"/>
  <c r="I37" i="7"/>
  <c r="C38" i="7"/>
  <c r="D38" i="7"/>
  <c r="E38" i="7"/>
  <c r="F38" i="7"/>
  <c r="G38" i="7"/>
  <c r="H38" i="7"/>
  <c r="I38" i="7"/>
  <c r="C39" i="7"/>
  <c r="D39" i="7"/>
  <c r="E39" i="7"/>
  <c r="F39" i="7"/>
  <c r="G39" i="7"/>
  <c r="H39" i="7"/>
  <c r="I39" i="7"/>
  <c r="C40" i="7"/>
  <c r="D40" i="7"/>
  <c r="E40" i="7"/>
  <c r="F40" i="7"/>
  <c r="G40" i="7"/>
  <c r="H40" i="7"/>
  <c r="I40" i="7"/>
  <c r="C41" i="7"/>
  <c r="D41" i="7"/>
  <c r="E41" i="7"/>
  <c r="F41" i="7"/>
  <c r="G41" i="7"/>
  <c r="H41" i="7"/>
  <c r="I41" i="7"/>
  <c r="C42" i="7"/>
  <c r="D42" i="7"/>
  <c r="E42" i="7"/>
  <c r="F42" i="7"/>
  <c r="G42" i="7"/>
  <c r="H42" i="7"/>
  <c r="I42" i="7"/>
  <c r="C43" i="7"/>
  <c r="D43" i="7"/>
  <c r="E43" i="7"/>
  <c r="F43" i="7"/>
  <c r="G43" i="7"/>
  <c r="H43" i="7"/>
  <c r="I43" i="7"/>
  <c r="C44" i="7"/>
  <c r="D44" i="7"/>
  <c r="E44" i="7"/>
  <c r="F44" i="7"/>
  <c r="G44" i="7"/>
  <c r="H44" i="7"/>
  <c r="I44" i="7"/>
  <c r="C45" i="7"/>
  <c r="D45" i="7"/>
  <c r="E45" i="7"/>
  <c r="F45" i="7"/>
  <c r="G45" i="7"/>
  <c r="H45" i="7"/>
  <c r="I45" i="7"/>
  <c r="C46" i="7"/>
  <c r="D46" i="7"/>
  <c r="E46" i="7"/>
  <c r="F46" i="7"/>
  <c r="G46" i="7"/>
  <c r="H46" i="7"/>
  <c r="I46" i="7"/>
  <c r="C47" i="7"/>
  <c r="D47" i="7"/>
  <c r="E47" i="7"/>
  <c r="F47" i="7"/>
  <c r="G47" i="7"/>
  <c r="H47" i="7"/>
  <c r="I47" i="7"/>
  <c r="C48" i="7"/>
  <c r="D48" i="7"/>
  <c r="E48" i="7"/>
  <c r="F48" i="7"/>
  <c r="G48" i="7"/>
  <c r="H48" i="7"/>
  <c r="I48" i="7"/>
  <c r="C49" i="7"/>
  <c r="D49" i="7"/>
  <c r="E49" i="7"/>
  <c r="F49" i="7"/>
  <c r="G49" i="7"/>
  <c r="H49" i="7"/>
  <c r="I49" i="7"/>
  <c r="C50" i="7"/>
  <c r="D50" i="7"/>
  <c r="E50" i="7"/>
  <c r="F50" i="7"/>
  <c r="G50" i="7"/>
  <c r="H50" i="7"/>
  <c r="I50" i="7"/>
  <c r="C51" i="7"/>
  <c r="D51" i="7"/>
  <c r="E51" i="7"/>
  <c r="F51" i="7"/>
  <c r="G51" i="7"/>
  <c r="H51" i="7"/>
  <c r="I51" i="7"/>
  <c r="C52" i="7"/>
  <c r="D52" i="7"/>
  <c r="E52" i="7"/>
  <c r="F52" i="7"/>
  <c r="G52" i="7"/>
  <c r="H52" i="7"/>
  <c r="I52" i="7"/>
  <c r="C53" i="7"/>
  <c r="D53" i="7"/>
  <c r="E53" i="7"/>
  <c r="F53" i="7"/>
  <c r="G53" i="7"/>
  <c r="H53" i="7"/>
  <c r="I53" i="7"/>
  <c r="C54" i="7"/>
  <c r="D54" i="7"/>
  <c r="E54" i="7"/>
  <c r="F54" i="7"/>
  <c r="G54" i="7"/>
  <c r="H54" i="7"/>
  <c r="I54" i="7"/>
  <c r="C55" i="7"/>
  <c r="D55" i="7"/>
  <c r="E55" i="7"/>
  <c r="F55" i="7"/>
  <c r="G55" i="7"/>
  <c r="H55" i="7"/>
  <c r="I55" i="7"/>
  <c r="C56" i="7"/>
  <c r="D56" i="7"/>
  <c r="E56" i="7"/>
  <c r="F56" i="7"/>
  <c r="G56" i="7"/>
  <c r="H56" i="7"/>
  <c r="I56" i="7"/>
  <c r="C57" i="7"/>
  <c r="D57" i="7"/>
  <c r="E57" i="7"/>
  <c r="F57" i="7"/>
  <c r="G57" i="7"/>
  <c r="H57" i="7"/>
  <c r="I57" i="7"/>
  <c r="C58" i="7"/>
  <c r="D58" i="7"/>
  <c r="E58" i="7"/>
  <c r="F58" i="7"/>
  <c r="G58" i="7"/>
  <c r="H58" i="7"/>
  <c r="I58" i="7"/>
  <c r="C59" i="7"/>
  <c r="D59" i="7"/>
  <c r="E59" i="7"/>
  <c r="F59" i="7"/>
  <c r="G59" i="7"/>
  <c r="H59" i="7"/>
  <c r="I59" i="7"/>
  <c r="C60" i="7"/>
  <c r="D60" i="7"/>
  <c r="E60" i="7"/>
  <c r="F60" i="7"/>
  <c r="G60" i="7"/>
  <c r="H60" i="7"/>
  <c r="I60" i="7"/>
  <c r="C61" i="7"/>
  <c r="D61" i="7"/>
  <c r="E61" i="7"/>
  <c r="F61" i="7"/>
  <c r="G61" i="7"/>
  <c r="H61" i="7"/>
  <c r="I61" i="7"/>
  <c r="C62" i="7"/>
  <c r="D62" i="7"/>
  <c r="E62" i="7"/>
  <c r="F62" i="7"/>
  <c r="G62" i="7"/>
  <c r="H62" i="7"/>
  <c r="I62" i="7"/>
  <c r="C63" i="7"/>
  <c r="D63" i="7"/>
  <c r="E63" i="7"/>
  <c r="F63" i="7"/>
  <c r="G63" i="7"/>
  <c r="H63" i="7"/>
  <c r="I63" i="7"/>
  <c r="C64" i="7"/>
  <c r="D64" i="7"/>
  <c r="E64" i="7"/>
  <c r="F64" i="7"/>
  <c r="G64" i="7"/>
  <c r="H64" i="7"/>
  <c r="I64" i="7"/>
  <c r="C65" i="7"/>
  <c r="D65" i="7"/>
  <c r="E65" i="7"/>
  <c r="F65" i="7"/>
  <c r="G65" i="7"/>
  <c r="H65" i="7"/>
  <c r="I65" i="7"/>
  <c r="C66" i="7"/>
  <c r="D66" i="7"/>
  <c r="E66" i="7"/>
  <c r="F66" i="7"/>
  <c r="G66" i="7"/>
  <c r="H66" i="7"/>
  <c r="I66" i="7"/>
  <c r="C67" i="7"/>
  <c r="D67" i="7"/>
  <c r="E67" i="7"/>
  <c r="F67" i="7"/>
  <c r="G67" i="7"/>
  <c r="H67" i="7"/>
  <c r="I67" i="7"/>
  <c r="C68" i="7"/>
  <c r="D68" i="7"/>
  <c r="E68" i="7"/>
  <c r="F68" i="7"/>
  <c r="G68" i="7"/>
  <c r="H68" i="7"/>
  <c r="I68" i="7"/>
  <c r="C69" i="7"/>
  <c r="D69" i="7"/>
  <c r="E69" i="7"/>
  <c r="F69" i="7"/>
  <c r="G69" i="7"/>
  <c r="H69" i="7"/>
  <c r="I69" i="7"/>
  <c r="C70" i="7"/>
  <c r="D70" i="7"/>
  <c r="E70" i="7"/>
  <c r="F70" i="7"/>
  <c r="G70" i="7"/>
  <c r="H70" i="7"/>
  <c r="I70" i="7"/>
  <c r="C71" i="7"/>
  <c r="D71" i="7"/>
  <c r="E71" i="7"/>
  <c r="F71" i="7"/>
  <c r="G71" i="7"/>
  <c r="H71" i="7"/>
  <c r="I71" i="7"/>
  <c r="C72" i="7"/>
  <c r="D72" i="7"/>
  <c r="E72" i="7"/>
  <c r="F72" i="7"/>
  <c r="G72" i="7"/>
  <c r="H72" i="7"/>
  <c r="I72" i="7"/>
  <c r="C73" i="7"/>
  <c r="D73" i="7"/>
  <c r="E73" i="7"/>
  <c r="F73" i="7"/>
  <c r="G73" i="7"/>
  <c r="H73" i="7"/>
  <c r="I73" i="7"/>
  <c r="C74" i="7"/>
  <c r="D74" i="7"/>
  <c r="E74" i="7"/>
  <c r="F74" i="7"/>
  <c r="G74" i="7"/>
  <c r="H74" i="7"/>
  <c r="I74" i="7"/>
  <c r="C75" i="7"/>
  <c r="D75" i="7"/>
  <c r="E75" i="7"/>
  <c r="F75" i="7"/>
  <c r="G75" i="7"/>
  <c r="H75" i="7"/>
  <c r="I75" i="7"/>
  <c r="C76" i="7"/>
  <c r="D76" i="7"/>
  <c r="E76" i="7"/>
  <c r="F76" i="7"/>
  <c r="G76" i="7"/>
  <c r="H76" i="7"/>
  <c r="I76" i="7"/>
  <c r="C77" i="7"/>
  <c r="D77" i="7"/>
  <c r="E77" i="7"/>
  <c r="F77" i="7"/>
  <c r="G77" i="7"/>
  <c r="H77" i="7"/>
  <c r="I77" i="7"/>
  <c r="C78" i="7"/>
  <c r="D78" i="7"/>
  <c r="E78" i="7"/>
  <c r="F78" i="7"/>
  <c r="G78" i="7"/>
  <c r="H78" i="7"/>
  <c r="I78" i="7"/>
  <c r="C79" i="7"/>
  <c r="D79" i="7"/>
  <c r="E79" i="7"/>
  <c r="F79" i="7"/>
  <c r="G79" i="7"/>
  <c r="H79" i="7"/>
  <c r="I79" i="7"/>
  <c r="C80" i="7"/>
  <c r="D80" i="7"/>
  <c r="E80" i="7"/>
  <c r="F80" i="7"/>
  <c r="G80" i="7"/>
  <c r="H80" i="7"/>
  <c r="I80" i="7"/>
  <c r="C81" i="7"/>
  <c r="D81" i="7"/>
  <c r="E81" i="7"/>
  <c r="F81" i="7"/>
  <c r="G81" i="7"/>
  <c r="H81" i="7"/>
  <c r="I81" i="7"/>
  <c r="C82" i="7"/>
  <c r="D82" i="7"/>
  <c r="E82" i="7"/>
  <c r="F82" i="7"/>
  <c r="G82" i="7"/>
  <c r="H82" i="7"/>
  <c r="I82" i="7"/>
  <c r="C83" i="7"/>
  <c r="D83" i="7"/>
  <c r="E83" i="7"/>
  <c r="F83" i="7"/>
  <c r="G83" i="7"/>
  <c r="H83" i="7"/>
  <c r="I83" i="7"/>
  <c r="C84" i="7"/>
  <c r="D84" i="7"/>
  <c r="E84" i="7"/>
  <c r="F84" i="7"/>
  <c r="G84" i="7"/>
  <c r="H84" i="7"/>
  <c r="I84" i="7"/>
  <c r="C85" i="7"/>
  <c r="D85" i="7"/>
  <c r="E85" i="7"/>
  <c r="F85" i="7"/>
  <c r="G85" i="7"/>
  <c r="H85" i="7"/>
  <c r="I85" i="7"/>
  <c r="C86" i="7"/>
  <c r="D86" i="7"/>
  <c r="E86" i="7"/>
  <c r="F86" i="7"/>
  <c r="G86" i="7"/>
  <c r="H86" i="7"/>
  <c r="I86" i="7"/>
  <c r="C87" i="7"/>
  <c r="D87" i="7"/>
  <c r="E87" i="7"/>
  <c r="F87" i="7"/>
  <c r="G87" i="7"/>
  <c r="H87" i="7"/>
  <c r="I87" i="7"/>
  <c r="C88" i="7"/>
  <c r="D88" i="7"/>
  <c r="E88" i="7"/>
  <c r="F88" i="7"/>
  <c r="G88" i="7"/>
  <c r="H88" i="7"/>
  <c r="I88" i="7"/>
  <c r="N17" i="4" l="1"/>
  <c r="M42" i="5"/>
  <c r="C43" i="5"/>
  <c r="D4" i="4"/>
  <c r="C3" i="4"/>
  <c r="AJ2" i="1"/>
  <c r="D263" i="1"/>
  <c r="K42" i="5" l="1"/>
  <c r="K43" i="5"/>
  <c r="K44" i="5"/>
  <c r="K45" i="5"/>
  <c r="K46" i="5"/>
  <c r="K47" i="5"/>
  <c r="K48" i="5"/>
  <c r="K49" i="5"/>
  <c r="K50" i="5"/>
  <c r="K51" i="5"/>
  <c r="K52" i="5"/>
  <c r="K53" i="5"/>
  <c r="N51" i="5"/>
  <c r="O51" i="5"/>
  <c r="P51" i="5"/>
  <c r="Q51" i="5"/>
  <c r="R51" i="5"/>
  <c r="S51" i="5"/>
  <c r="T51" i="5"/>
  <c r="U51" i="5"/>
  <c r="N52" i="5"/>
  <c r="O52" i="5"/>
  <c r="P52" i="5"/>
  <c r="Q52" i="5"/>
  <c r="R52" i="5"/>
  <c r="S52" i="5"/>
  <c r="T52" i="5"/>
  <c r="U52" i="5"/>
  <c r="N53" i="5"/>
  <c r="O53" i="5"/>
  <c r="P53" i="5"/>
  <c r="Q53" i="5"/>
  <c r="R53" i="5"/>
  <c r="S53" i="5"/>
  <c r="T53" i="5"/>
  <c r="U53" i="5"/>
  <c r="M52" i="5"/>
  <c r="M53" i="5"/>
  <c r="M5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N42" i="5"/>
  <c r="O42" i="5"/>
  <c r="P42" i="5"/>
  <c r="Q42" i="5"/>
  <c r="R42" i="5"/>
  <c r="S42" i="5"/>
  <c r="T42" i="5"/>
  <c r="U42" i="5"/>
  <c r="N43" i="5"/>
  <c r="O43" i="5"/>
  <c r="P43" i="5"/>
  <c r="Q43" i="5"/>
  <c r="R43" i="5"/>
  <c r="S43" i="5"/>
  <c r="T43" i="5"/>
  <c r="U43" i="5"/>
  <c r="N44" i="5"/>
  <c r="O44" i="5"/>
  <c r="P44" i="5"/>
  <c r="Q44" i="5"/>
  <c r="R44" i="5"/>
  <c r="S44" i="5"/>
  <c r="T44" i="5"/>
  <c r="U44" i="5"/>
  <c r="N45" i="5"/>
  <c r="O45" i="5"/>
  <c r="P45" i="5"/>
  <c r="Q45" i="5"/>
  <c r="R45" i="5"/>
  <c r="S45" i="5"/>
  <c r="T45" i="5"/>
  <c r="U45" i="5"/>
  <c r="N46" i="5"/>
  <c r="O46" i="5"/>
  <c r="P46" i="5"/>
  <c r="Q46" i="5"/>
  <c r="R46" i="5"/>
  <c r="S46" i="5"/>
  <c r="T46" i="5"/>
  <c r="U46" i="5"/>
  <c r="N47" i="5"/>
  <c r="O47" i="5"/>
  <c r="P47" i="5"/>
  <c r="Q47" i="5"/>
  <c r="R47" i="5"/>
  <c r="S47" i="5"/>
  <c r="T47" i="5"/>
  <c r="U47" i="5"/>
  <c r="N48" i="5"/>
  <c r="O48" i="5"/>
  <c r="P48" i="5"/>
  <c r="Q48" i="5"/>
  <c r="R48" i="5"/>
  <c r="S48" i="5"/>
  <c r="T48" i="5"/>
  <c r="U48" i="5"/>
  <c r="N49" i="5"/>
  <c r="O49" i="5"/>
  <c r="P49" i="5"/>
  <c r="Q49" i="5"/>
  <c r="R49" i="5"/>
  <c r="S49" i="5"/>
  <c r="T49" i="5"/>
  <c r="U49" i="5"/>
  <c r="N50" i="5"/>
  <c r="O50" i="5"/>
  <c r="P50" i="5"/>
  <c r="Q50" i="5"/>
  <c r="R50" i="5"/>
  <c r="S50" i="5"/>
  <c r="T50" i="5"/>
  <c r="U50" i="5"/>
  <c r="C44" i="5"/>
  <c r="C45" i="5"/>
  <c r="C46" i="5"/>
  <c r="C47" i="5"/>
  <c r="C48" i="5"/>
  <c r="C49" i="5"/>
  <c r="C50" i="5"/>
  <c r="C51" i="5"/>
  <c r="C52" i="5"/>
  <c r="C53" i="5"/>
  <c r="M43" i="5"/>
  <c r="M44" i="5"/>
  <c r="M45" i="5"/>
  <c r="M46" i="5"/>
  <c r="M47" i="5"/>
  <c r="M48" i="5"/>
  <c r="M49" i="5"/>
  <c r="M50" i="5"/>
  <c r="C42" i="5"/>
  <c r="D3" i="4" l="1"/>
  <c r="F12" i="4"/>
  <c r="E12" i="4"/>
  <c r="G12" i="4"/>
  <c r="H12" i="4"/>
  <c r="I12" i="4"/>
  <c r="J12" i="4"/>
  <c r="K12" i="4"/>
  <c r="L12" i="4"/>
  <c r="M12" i="4"/>
  <c r="N12" i="4"/>
  <c r="O12" i="4"/>
  <c r="P12" i="4"/>
  <c r="E13" i="4"/>
  <c r="F13" i="4"/>
  <c r="G13" i="4"/>
  <c r="H13" i="4"/>
  <c r="I13" i="4"/>
  <c r="J13" i="4"/>
  <c r="K13" i="4"/>
  <c r="L13" i="4"/>
  <c r="M13" i="4"/>
  <c r="N13" i="4"/>
  <c r="O13" i="4"/>
  <c r="P13" i="4"/>
  <c r="E14" i="4"/>
  <c r="F14" i="4"/>
  <c r="G14" i="4"/>
  <c r="H14" i="4"/>
  <c r="I14" i="4"/>
  <c r="J14" i="4"/>
  <c r="K14" i="4"/>
  <c r="L14" i="4"/>
  <c r="M14" i="4"/>
  <c r="N14" i="4"/>
  <c r="O14" i="4"/>
  <c r="P14" i="4"/>
  <c r="D13" i="4"/>
  <c r="D14" i="4"/>
  <c r="D12" i="4"/>
  <c r="C14" i="4"/>
  <c r="C13" i="4"/>
  <c r="P3" i="4"/>
  <c r="P4" i="4"/>
  <c r="P5" i="4"/>
  <c r="P6" i="4"/>
  <c r="P7" i="4"/>
  <c r="P8" i="4"/>
  <c r="P9" i="4"/>
  <c r="P10" i="4"/>
  <c r="P11" i="4"/>
  <c r="E3" i="4"/>
  <c r="F3" i="4"/>
  <c r="G3" i="4"/>
  <c r="H3" i="4"/>
  <c r="I3" i="4"/>
  <c r="I17" i="4" s="1"/>
  <c r="J3" i="4"/>
  <c r="K3" i="4"/>
  <c r="L3" i="4"/>
  <c r="M3" i="4"/>
  <c r="M16" i="4" s="1"/>
  <c r="N3" i="4"/>
  <c r="O3" i="4"/>
  <c r="E4" i="4"/>
  <c r="F4" i="4"/>
  <c r="G4" i="4"/>
  <c r="H4" i="4"/>
  <c r="I4" i="4"/>
  <c r="J4" i="4"/>
  <c r="K4" i="4"/>
  <c r="L4" i="4"/>
  <c r="M4" i="4"/>
  <c r="N4" i="4"/>
  <c r="O4" i="4"/>
  <c r="D5" i="4"/>
  <c r="E5" i="4"/>
  <c r="F5" i="4"/>
  <c r="G5" i="4"/>
  <c r="H5" i="4"/>
  <c r="I5" i="4"/>
  <c r="J5" i="4"/>
  <c r="K5" i="4"/>
  <c r="L5" i="4"/>
  <c r="M5" i="4"/>
  <c r="N5" i="4"/>
  <c r="O5" i="4"/>
  <c r="D6" i="4"/>
  <c r="E6" i="4"/>
  <c r="F6" i="4"/>
  <c r="G6" i="4"/>
  <c r="H6" i="4"/>
  <c r="I6" i="4"/>
  <c r="J6" i="4"/>
  <c r="K6" i="4"/>
  <c r="L6" i="4"/>
  <c r="M6" i="4"/>
  <c r="N6" i="4"/>
  <c r="O6" i="4"/>
  <c r="D7" i="4"/>
  <c r="E7" i="4"/>
  <c r="F7" i="4"/>
  <c r="G7" i="4"/>
  <c r="H7" i="4"/>
  <c r="I7" i="4"/>
  <c r="J7" i="4"/>
  <c r="K7" i="4"/>
  <c r="L7" i="4"/>
  <c r="M7" i="4"/>
  <c r="N7" i="4"/>
  <c r="O7" i="4"/>
  <c r="D8" i="4"/>
  <c r="E8" i="4"/>
  <c r="F8" i="4"/>
  <c r="G8" i="4"/>
  <c r="H8" i="4"/>
  <c r="I8" i="4"/>
  <c r="J8" i="4"/>
  <c r="K8" i="4"/>
  <c r="L8" i="4"/>
  <c r="M8" i="4"/>
  <c r="N8" i="4"/>
  <c r="O8" i="4"/>
  <c r="D9" i="4"/>
  <c r="E9" i="4"/>
  <c r="F9" i="4"/>
  <c r="G9" i="4"/>
  <c r="H9" i="4"/>
  <c r="I9" i="4"/>
  <c r="J9" i="4"/>
  <c r="K9" i="4"/>
  <c r="L9" i="4"/>
  <c r="M9" i="4"/>
  <c r="N9" i="4"/>
  <c r="O9" i="4"/>
  <c r="D10" i="4"/>
  <c r="E10" i="4"/>
  <c r="F10" i="4"/>
  <c r="G10" i="4"/>
  <c r="H10" i="4"/>
  <c r="I10" i="4"/>
  <c r="J10" i="4"/>
  <c r="K10" i="4"/>
  <c r="L10" i="4"/>
  <c r="M10" i="4"/>
  <c r="N10" i="4"/>
  <c r="O10" i="4"/>
  <c r="D11" i="4"/>
  <c r="E11" i="4"/>
  <c r="F11" i="4"/>
  <c r="G11" i="4"/>
  <c r="H11" i="4"/>
  <c r="I11" i="4"/>
  <c r="J11" i="4"/>
  <c r="K11" i="4"/>
  <c r="L11" i="4"/>
  <c r="M11" i="4"/>
  <c r="N11" i="4"/>
  <c r="O11" i="4"/>
  <c r="C11" i="4"/>
  <c r="C10" i="4"/>
  <c r="C9" i="4"/>
  <c r="C8" i="4"/>
  <c r="C4" i="4"/>
  <c r="C5" i="4"/>
  <c r="C6" i="4"/>
  <c r="C7" i="4"/>
  <c r="C4" i="2"/>
  <c r="C5" i="2"/>
  <c r="C6" i="2"/>
  <c r="C7" i="2"/>
  <c r="C8" i="2"/>
  <c r="C9" i="2"/>
  <c r="C10" i="2"/>
  <c r="C10" i="3"/>
  <c r="D10" i="3"/>
  <c r="E10" i="3"/>
  <c r="F10" i="3"/>
  <c r="B10" i="3"/>
  <c r="G6" i="3"/>
  <c r="AJ3" i="1"/>
  <c r="AK3" i="1"/>
  <c r="AL3" i="1"/>
  <c r="AM3" i="1"/>
  <c r="AN3" i="1"/>
  <c r="AJ4" i="1"/>
  <c r="AK4" i="1"/>
  <c r="AL4" i="1"/>
  <c r="AM4" i="1"/>
  <c r="AN4" i="1"/>
  <c r="AJ5" i="1"/>
  <c r="AK5" i="1"/>
  <c r="AM5" i="1"/>
  <c r="AN5" i="1"/>
  <c r="AJ6" i="1"/>
  <c r="AK6" i="1"/>
  <c r="AL6" i="1"/>
  <c r="AM6" i="1"/>
  <c r="AN6" i="1"/>
  <c r="AJ7" i="1"/>
  <c r="AK7" i="1"/>
  <c r="AL7" i="1"/>
  <c r="AM7" i="1"/>
  <c r="AN7" i="1"/>
  <c r="AJ8" i="1"/>
  <c r="AK8" i="1"/>
  <c r="AM8" i="1"/>
  <c r="AN8" i="1"/>
  <c r="AJ9" i="1"/>
  <c r="AK9" i="1"/>
  <c r="AL9" i="1"/>
  <c r="AM9" i="1"/>
  <c r="AN9" i="1"/>
  <c r="AJ10" i="1"/>
  <c r="AK10" i="1"/>
  <c r="AL10" i="1"/>
  <c r="AM10" i="1"/>
  <c r="AN10" i="1"/>
  <c r="AJ11" i="1"/>
  <c r="AK11" i="1"/>
  <c r="AM11" i="1"/>
  <c r="AN11" i="1"/>
  <c r="AJ12" i="1"/>
  <c r="AK12" i="1"/>
  <c r="AL12" i="1"/>
  <c r="AM12" i="1"/>
  <c r="AN12" i="1"/>
  <c r="AJ13" i="1"/>
  <c r="AK13" i="1"/>
  <c r="AL13" i="1"/>
  <c r="AM13" i="1"/>
  <c r="AN13" i="1"/>
  <c r="AJ14" i="1"/>
  <c r="AK14" i="1"/>
  <c r="AM14" i="1"/>
  <c r="AN14" i="1"/>
  <c r="AJ15" i="1"/>
  <c r="AK15" i="1"/>
  <c r="AL15" i="1"/>
  <c r="AM15" i="1"/>
  <c r="AN15" i="1"/>
  <c r="AJ16" i="1"/>
  <c r="AK16" i="1"/>
  <c r="AL16" i="1"/>
  <c r="AM16" i="1"/>
  <c r="AN16" i="1"/>
  <c r="AJ17" i="1"/>
  <c r="AK17" i="1"/>
  <c r="AM17" i="1"/>
  <c r="AN17" i="1"/>
  <c r="AJ18" i="1"/>
  <c r="AK18" i="1"/>
  <c r="AL18" i="1"/>
  <c r="AM18" i="1"/>
  <c r="AN18" i="1"/>
  <c r="AJ19" i="1"/>
  <c r="AK19" i="1"/>
  <c r="AL19" i="1"/>
  <c r="AM19" i="1"/>
  <c r="AN19" i="1"/>
  <c r="AJ20" i="1"/>
  <c r="AK20" i="1"/>
  <c r="AM20" i="1"/>
  <c r="AN20" i="1"/>
  <c r="AJ21" i="1"/>
  <c r="AK21" i="1"/>
  <c r="AL21" i="1"/>
  <c r="AM21" i="1"/>
  <c r="AN21" i="1"/>
  <c r="AJ22" i="1"/>
  <c r="AK22" i="1"/>
  <c r="AL22" i="1"/>
  <c r="AM22" i="1"/>
  <c r="AN22" i="1"/>
  <c r="AJ23" i="1"/>
  <c r="AK23" i="1"/>
  <c r="AM23" i="1"/>
  <c r="AN23" i="1"/>
  <c r="AJ24" i="1"/>
  <c r="AK24" i="1"/>
  <c r="AL24" i="1"/>
  <c r="AM24" i="1"/>
  <c r="AN24" i="1"/>
  <c r="AJ25" i="1"/>
  <c r="AK25" i="1"/>
  <c r="AL25" i="1"/>
  <c r="AM25" i="1"/>
  <c r="AN25" i="1"/>
  <c r="AJ26" i="1"/>
  <c r="AK26" i="1"/>
  <c r="AM26" i="1"/>
  <c r="AN26" i="1"/>
  <c r="AJ27" i="1"/>
  <c r="AK27" i="1"/>
  <c r="AL27" i="1"/>
  <c r="AM27" i="1"/>
  <c r="AN27" i="1"/>
  <c r="AJ28" i="1"/>
  <c r="AK28" i="1"/>
  <c r="AL28" i="1"/>
  <c r="AM28" i="1"/>
  <c r="AN28" i="1"/>
  <c r="AJ29" i="1"/>
  <c r="AK29" i="1"/>
  <c r="AM29" i="1"/>
  <c r="AN29" i="1"/>
  <c r="AJ30" i="1"/>
  <c r="AK30" i="1"/>
  <c r="AL30" i="1"/>
  <c r="AM30" i="1"/>
  <c r="AN30" i="1"/>
  <c r="AJ31" i="1"/>
  <c r="AK31" i="1"/>
  <c r="AL31" i="1"/>
  <c r="AM31" i="1"/>
  <c r="AN31" i="1"/>
  <c r="AJ32" i="1"/>
  <c r="AK32" i="1"/>
  <c r="AM32" i="1"/>
  <c r="AN32" i="1"/>
  <c r="AJ33" i="1"/>
  <c r="AK33" i="1"/>
  <c r="AL33" i="1"/>
  <c r="AM33" i="1"/>
  <c r="AN33" i="1"/>
  <c r="AJ34" i="1"/>
  <c r="AK34" i="1"/>
  <c r="AL34" i="1"/>
  <c r="AM34" i="1"/>
  <c r="AN34" i="1"/>
  <c r="AJ35" i="1"/>
  <c r="AK35" i="1"/>
  <c r="AM35" i="1"/>
  <c r="AN35" i="1"/>
  <c r="AJ36" i="1"/>
  <c r="AK36" i="1"/>
  <c r="AL36" i="1"/>
  <c r="AM36" i="1"/>
  <c r="AN36" i="1"/>
  <c r="AJ37" i="1"/>
  <c r="AK37" i="1"/>
  <c r="AL37" i="1"/>
  <c r="AM37" i="1"/>
  <c r="AN37" i="1"/>
  <c r="AJ38" i="1"/>
  <c r="AK38" i="1"/>
  <c r="AM38" i="1"/>
  <c r="AN38" i="1"/>
  <c r="AJ39" i="1"/>
  <c r="AK39" i="1"/>
  <c r="AL39" i="1"/>
  <c r="AM39" i="1"/>
  <c r="AN39" i="1"/>
  <c r="AJ40" i="1"/>
  <c r="AK40" i="1"/>
  <c r="AL40" i="1"/>
  <c r="AM40" i="1"/>
  <c r="AN40" i="1"/>
  <c r="AJ41" i="1"/>
  <c r="AK41" i="1"/>
  <c r="AM41" i="1"/>
  <c r="AN41" i="1"/>
  <c r="AJ42" i="1"/>
  <c r="AK42" i="1"/>
  <c r="AL42" i="1"/>
  <c r="AM42" i="1"/>
  <c r="AN42" i="1"/>
  <c r="AJ43" i="1"/>
  <c r="AK43" i="1"/>
  <c r="AL43" i="1"/>
  <c r="AM43" i="1"/>
  <c r="AN43" i="1"/>
  <c r="AJ44" i="1"/>
  <c r="AK44" i="1"/>
  <c r="AM44" i="1"/>
  <c r="AN44" i="1"/>
  <c r="AJ45" i="1"/>
  <c r="AK45" i="1"/>
  <c r="AL45" i="1"/>
  <c r="AM45" i="1"/>
  <c r="AN45" i="1"/>
  <c r="AJ46" i="1"/>
  <c r="AK46" i="1"/>
  <c r="AL46" i="1"/>
  <c r="AM46" i="1"/>
  <c r="AN46" i="1"/>
  <c r="AJ47" i="1"/>
  <c r="AK47" i="1"/>
  <c r="AM47" i="1"/>
  <c r="AN47" i="1"/>
  <c r="AJ48" i="1"/>
  <c r="AK48" i="1"/>
  <c r="AL48" i="1"/>
  <c r="AM48" i="1"/>
  <c r="AN48" i="1"/>
  <c r="AJ49" i="1"/>
  <c r="AK49" i="1"/>
  <c r="AL49" i="1"/>
  <c r="AM49" i="1"/>
  <c r="AN49" i="1"/>
  <c r="AJ50" i="1"/>
  <c r="AK50" i="1"/>
  <c r="AM50" i="1"/>
  <c r="AN50" i="1"/>
  <c r="AJ51" i="1"/>
  <c r="AK51" i="1"/>
  <c r="AL51" i="1"/>
  <c r="AM51" i="1"/>
  <c r="AN51" i="1"/>
  <c r="AJ52" i="1"/>
  <c r="AK52" i="1"/>
  <c r="AL52" i="1"/>
  <c r="AM52" i="1"/>
  <c r="AN52" i="1"/>
  <c r="AJ53" i="1"/>
  <c r="AK53" i="1"/>
  <c r="AM53" i="1"/>
  <c r="AN53" i="1"/>
  <c r="AJ54" i="1"/>
  <c r="AK54" i="1"/>
  <c r="AL54" i="1"/>
  <c r="AM54" i="1"/>
  <c r="AN54" i="1"/>
  <c r="AJ55" i="1"/>
  <c r="AK55" i="1"/>
  <c r="AL55" i="1"/>
  <c r="AM55" i="1"/>
  <c r="AN55" i="1"/>
  <c r="AJ56" i="1"/>
  <c r="AK56" i="1"/>
  <c r="AM56" i="1"/>
  <c r="AN56" i="1"/>
  <c r="AJ57" i="1"/>
  <c r="AK57" i="1"/>
  <c r="AL57" i="1"/>
  <c r="AM57" i="1"/>
  <c r="AN57" i="1"/>
  <c r="AJ58" i="1"/>
  <c r="AK58" i="1"/>
  <c r="AL58" i="1"/>
  <c r="AM58" i="1"/>
  <c r="AN58" i="1"/>
  <c r="AJ59" i="1"/>
  <c r="AK59" i="1"/>
  <c r="AM59" i="1"/>
  <c r="AN59" i="1"/>
  <c r="AJ60" i="1"/>
  <c r="AK60" i="1"/>
  <c r="AL60" i="1"/>
  <c r="AM60" i="1"/>
  <c r="AN60" i="1"/>
  <c r="AJ61" i="1"/>
  <c r="AK61" i="1"/>
  <c r="AL61" i="1"/>
  <c r="AM61" i="1"/>
  <c r="AN61" i="1"/>
  <c r="AJ62" i="1"/>
  <c r="AK62" i="1"/>
  <c r="AM62" i="1"/>
  <c r="AN62" i="1"/>
  <c r="AJ63" i="1"/>
  <c r="AK63" i="1"/>
  <c r="AL63" i="1"/>
  <c r="AM63" i="1"/>
  <c r="AN63" i="1"/>
  <c r="AJ64" i="1"/>
  <c r="AK64" i="1"/>
  <c r="AL64" i="1"/>
  <c r="AM64" i="1"/>
  <c r="AN64" i="1"/>
  <c r="AJ65" i="1"/>
  <c r="AK65" i="1"/>
  <c r="AM65" i="1"/>
  <c r="AN65" i="1"/>
  <c r="AJ66" i="1"/>
  <c r="AK66" i="1"/>
  <c r="AL66" i="1"/>
  <c r="AM66" i="1"/>
  <c r="AN66" i="1"/>
  <c r="AJ67" i="1"/>
  <c r="AK67" i="1"/>
  <c r="AL67" i="1"/>
  <c r="AM67" i="1"/>
  <c r="AN67" i="1"/>
  <c r="AJ68" i="1"/>
  <c r="AK68" i="1"/>
  <c r="AM68" i="1"/>
  <c r="AN68" i="1"/>
  <c r="AJ69" i="1"/>
  <c r="AK69" i="1"/>
  <c r="AL69" i="1"/>
  <c r="AM69" i="1"/>
  <c r="AN69" i="1"/>
  <c r="AJ70" i="1"/>
  <c r="AK70" i="1"/>
  <c r="AL70" i="1"/>
  <c r="AM70" i="1"/>
  <c r="AN70" i="1"/>
  <c r="AJ71" i="1"/>
  <c r="AK71" i="1"/>
  <c r="AM71" i="1"/>
  <c r="AN71" i="1"/>
  <c r="AJ72" i="1"/>
  <c r="AK72" i="1"/>
  <c r="AL72" i="1"/>
  <c r="AM72" i="1"/>
  <c r="AN72" i="1"/>
  <c r="AJ73" i="1"/>
  <c r="AK73" i="1"/>
  <c r="AL73" i="1"/>
  <c r="AM73" i="1"/>
  <c r="AN73" i="1"/>
  <c r="AJ74" i="1"/>
  <c r="AK74" i="1"/>
  <c r="AM74" i="1"/>
  <c r="AN74" i="1"/>
  <c r="AJ75" i="1"/>
  <c r="AK75" i="1"/>
  <c r="AL75" i="1"/>
  <c r="AM75" i="1"/>
  <c r="AN75" i="1"/>
  <c r="AJ76" i="1"/>
  <c r="AK76" i="1"/>
  <c r="AL76" i="1"/>
  <c r="AM76" i="1"/>
  <c r="AN76" i="1"/>
  <c r="AJ77" i="1"/>
  <c r="AK77" i="1"/>
  <c r="AM77" i="1"/>
  <c r="AN77" i="1"/>
  <c r="AJ78" i="1"/>
  <c r="AK78" i="1"/>
  <c r="AL78" i="1"/>
  <c r="AM78" i="1"/>
  <c r="AN78" i="1"/>
  <c r="AJ79" i="1"/>
  <c r="AK79" i="1"/>
  <c r="AL79" i="1"/>
  <c r="AM79" i="1"/>
  <c r="AN79" i="1"/>
  <c r="AJ80" i="1"/>
  <c r="AK80" i="1"/>
  <c r="AM80" i="1"/>
  <c r="AN80" i="1"/>
  <c r="AJ81" i="1"/>
  <c r="AK81" i="1"/>
  <c r="AL81" i="1"/>
  <c r="AM81" i="1"/>
  <c r="AN81" i="1"/>
  <c r="AJ82" i="1"/>
  <c r="AK82" i="1"/>
  <c r="AL82" i="1"/>
  <c r="AM82" i="1"/>
  <c r="AN82" i="1"/>
  <c r="AJ83" i="1"/>
  <c r="AK83" i="1"/>
  <c r="AM83" i="1"/>
  <c r="AN83" i="1"/>
  <c r="AJ84" i="1"/>
  <c r="AK84" i="1"/>
  <c r="AL84" i="1"/>
  <c r="AM84" i="1"/>
  <c r="AN84" i="1"/>
  <c r="AJ85" i="1"/>
  <c r="AK85" i="1"/>
  <c r="AL85" i="1"/>
  <c r="AM85" i="1"/>
  <c r="AN85" i="1"/>
  <c r="AJ86" i="1"/>
  <c r="AK86" i="1"/>
  <c r="AM86" i="1"/>
  <c r="AN86" i="1"/>
  <c r="AJ87" i="1"/>
  <c r="AK87" i="1"/>
  <c r="AL87" i="1"/>
  <c r="AM87" i="1"/>
  <c r="AN87" i="1"/>
  <c r="AJ88" i="1"/>
  <c r="AK88" i="1"/>
  <c r="AL88" i="1"/>
  <c r="AM88" i="1"/>
  <c r="AN88" i="1"/>
  <c r="AJ89" i="1"/>
  <c r="AK89" i="1"/>
  <c r="AM89" i="1"/>
  <c r="AN89" i="1"/>
  <c r="AJ90" i="1"/>
  <c r="AK90" i="1"/>
  <c r="AL90" i="1"/>
  <c r="AM90" i="1"/>
  <c r="AN90" i="1"/>
  <c r="AJ91" i="1"/>
  <c r="AK91" i="1"/>
  <c r="AL91" i="1"/>
  <c r="AM91" i="1"/>
  <c r="AN91" i="1"/>
  <c r="AJ92" i="1"/>
  <c r="AK92" i="1"/>
  <c r="AM92" i="1"/>
  <c r="AN92" i="1"/>
  <c r="AJ93" i="1"/>
  <c r="AK93" i="1"/>
  <c r="AL93" i="1"/>
  <c r="AM93" i="1"/>
  <c r="AN93" i="1"/>
  <c r="AJ94" i="1"/>
  <c r="AK94" i="1"/>
  <c r="AL94" i="1"/>
  <c r="AM94" i="1"/>
  <c r="AN94" i="1"/>
  <c r="AJ95" i="1"/>
  <c r="AK95" i="1"/>
  <c r="AM95" i="1"/>
  <c r="AN95" i="1"/>
  <c r="AJ96" i="1"/>
  <c r="AK96" i="1"/>
  <c r="AL96" i="1"/>
  <c r="AM96" i="1"/>
  <c r="AN96" i="1"/>
  <c r="AJ97" i="1"/>
  <c r="AK97" i="1"/>
  <c r="AL97" i="1"/>
  <c r="AM97" i="1"/>
  <c r="AN97" i="1"/>
  <c r="AJ98" i="1"/>
  <c r="AK98" i="1"/>
  <c r="AM98" i="1"/>
  <c r="AN98" i="1"/>
  <c r="AJ99" i="1"/>
  <c r="AK99" i="1"/>
  <c r="AL99" i="1"/>
  <c r="AM99" i="1"/>
  <c r="AN99" i="1"/>
  <c r="AJ100" i="1"/>
  <c r="AK100" i="1"/>
  <c r="AL100" i="1"/>
  <c r="AM100" i="1"/>
  <c r="AN100" i="1"/>
  <c r="AJ101" i="1"/>
  <c r="AK101" i="1"/>
  <c r="AM101" i="1"/>
  <c r="AN101" i="1"/>
  <c r="AJ102" i="1"/>
  <c r="AK102" i="1"/>
  <c r="AL102" i="1"/>
  <c r="AM102" i="1"/>
  <c r="AN102" i="1"/>
  <c r="AJ103" i="1"/>
  <c r="AK103" i="1"/>
  <c r="AL103" i="1"/>
  <c r="AM103" i="1"/>
  <c r="AN103" i="1"/>
  <c r="AJ104" i="1"/>
  <c r="AK104" i="1"/>
  <c r="AM104" i="1"/>
  <c r="AN104" i="1"/>
  <c r="AJ105" i="1"/>
  <c r="AK105" i="1"/>
  <c r="AL105" i="1"/>
  <c r="AM105" i="1"/>
  <c r="AN105" i="1"/>
  <c r="AJ106" i="1"/>
  <c r="AK106" i="1"/>
  <c r="AL106" i="1"/>
  <c r="AM106" i="1"/>
  <c r="AN106" i="1"/>
  <c r="AJ107" i="1"/>
  <c r="AK107" i="1"/>
  <c r="AM107" i="1"/>
  <c r="AN107" i="1"/>
  <c r="AJ108" i="1"/>
  <c r="AK108" i="1"/>
  <c r="AL108" i="1"/>
  <c r="AM108" i="1"/>
  <c r="AN108" i="1"/>
  <c r="AJ109" i="1"/>
  <c r="AK109" i="1"/>
  <c r="AL109" i="1"/>
  <c r="AM109" i="1"/>
  <c r="AN109" i="1"/>
  <c r="AJ110" i="1"/>
  <c r="AK110" i="1"/>
  <c r="AM110" i="1"/>
  <c r="AN110" i="1"/>
  <c r="AJ111" i="1"/>
  <c r="AK111" i="1"/>
  <c r="AL111" i="1"/>
  <c r="AM111" i="1"/>
  <c r="AN111" i="1"/>
  <c r="AJ112" i="1"/>
  <c r="AK112" i="1"/>
  <c r="AL112" i="1"/>
  <c r="AM112" i="1"/>
  <c r="AN112" i="1"/>
  <c r="AJ113" i="1"/>
  <c r="AK113" i="1"/>
  <c r="AM113" i="1"/>
  <c r="AN113" i="1"/>
  <c r="AJ114" i="1"/>
  <c r="AK114" i="1"/>
  <c r="AL114" i="1"/>
  <c r="AM114" i="1"/>
  <c r="AN114" i="1"/>
  <c r="AJ115" i="1"/>
  <c r="AK115" i="1"/>
  <c r="AL115" i="1"/>
  <c r="AM115" i="1"/>
  <c r="AN115" i="1"/>
  <c r="AJ116" i="1"/>
  <c r="AK116" i="1"/>
  <c r="AM116" i="1"/>
  <c r="AN116" i="1"/>
  <c r="AJ117" i="1"/>
  <c r="AK117" i="1"/>
  <c r="AL117" i="1"/>
  <c r="AM117" i="1"/>
  <c r="AN117" i="1"/>
  <c r="AJ118" i="1"/>
  <c r="AK118" i="1"/>
  <c r="AL118" i="1"/>
  <c r="AM118" i="1"/>
  <c r="AN118" i="1"/>
  <c r="AJ119" i="1"/>
  <c r="AK119" i="1"/>
  <c r="AM119" i="1"/>
  <c r="AN119" i="1"/>
  <c r="AJ120" i="1"/>
  <c r="AK120" i="1"/>
  <c r="AL120" i="1"/>
  <c r="AM120" i="1"/>
  <c r="AN120" i="1"/>
  <c r="AJ121" i="1"/>
  <c r="AK121" i="1"/>
  <c r="AL121" i="1"/>
  <c r="AM121" i="1"/>
  <c r="AN121" i="1"/>
  <c r="AJ122" i="1"/>
  <c r="AK122" i="1"/>
  <c r="AM122" i="1"/>
  <c r="AN122" i="1"/>
  <c r="AJ123" i="1"/>
  <c r="AK123" i="1"/>
  <c r="AL123" i="1"/>
  <c r="AM123" i="1"/>
  <c r="AN123" i="1"/>
  <c r="AJ124" i="1"/>
  <c r="AK124" i="1"/>
  <c r="AL124" i="1"/>
  <c r="AM124" i="1"/>
  <c r="AN124" i="1"/>
  <c r="AJ125" i="1"/>
  <c r="AK125" i="1"/>
  <c r="AM125" i="1"/>
  <c r="AN125" i="1"/>
  <c r="AJ126" i="1"/>
  <c r="AK126" i="1"/>
  <c r="AL126" i="1"/>
  <c r="AM126" i="1"/>
  <c r="AN126" i="1"/>
  <c r="AJ127" i="1"/>
  <c r="AK127" i="1"/>
  <c r="AL127" i="1"/>
  <c r="AM127" i="1"/>
  <c r="AN127" i="1"/>
  <c r="AJ128" i="1"/>
  <c r="AK128" i="1"/>
  <c r="AM128" i="1"/>
  <c r="AN128" i="1"/>
  <c r="AJ129" i="1"/>
  <c r="AK129" i="1"/>
  <c r="AL129" i="1"/>
  <c r="AM129" i="1"/>
  <c r="AN129" i="1"/>
  <c r="AJ130" i="1"/>
  <c r="AK130" i="1"/>
  <c r="AL130" i="1"/>
  <c r="AM130" i="1"/>
  <c r="AN130" i="1"/>
  <c r="AJ131" i="1"/>
  <c r="AK131" i="1"/>
  <c r="AM131" i="1"/>
  <c r="AN131" i="1"/>
  <c r="AJ132" i="1"/>
  <c r="AK132" i="1"/>
  <c r="AL132" i="1"/>
  <c r="AM132" i="1"/>
  <c r="AN132" i="1"/>
  <c r="AJ133" i="1"/>
  <c r="AK133" i="1"/>
  <c r="AL133" i="1"/>
  <c r="AM133" i="1"/>
  <c r="AN133" i="1"/>
  <c r="AJ134" i="1"/>
  <c r="AK134" i="1"/>
  <c r="AM134" i="1"/>
  <c r="AN134" i="1"/>
  <c r="AJ135" i="1"/>
  <c r="AK135" i="1"/>
  <c r="AL135" i="1"/>
  <c r="AM135" i="1"/>
  <c r="AN135" i="1"/>
  <c r="AJ136" i="1"/>
  <c r="AK136" i="1"/>
  <c r="AL136" i="1"/>
  <c r="AM136" i="1"/>
  <c r="AN136" i="1"/>
  <c r="AJ137" i="1"/>
  <c r="AK137" i="1"/>
  <c r="AM137" i="1"/>
  <c r="AN137" i="1"/>
  <c r="AJ138" i="1"/>
  <c r="AK138" i="1"/>
  <c r="AL138" i="1"/>
  <c r="AM138" i="1"/>
  <c r="AN138" i="1"/>
  <c r="AJ139" i="1"/>
  <c r="AK139" i="1"/>
  <c r="AL139" i="1"/>
  <c r="AM139" i="1"/>
  <c r="AN139" i="1"/>
  <c r="AJ140" i="1"/>
  <c r="AK140" i="1"/>
  <c r="AM140" i="1"/>
  <c r="AN140" i="1"/>
  <c r="AJ141" i="1"/>
  <c r="AK141" i="1"/>
  <c r="AL141" i="1"/>
  <c r="AM141" i="1"/>
  <c r="AN141" i="1"/>
  <c r="AJ142" i="1"/>
  <c r="AK142" i="1"/>
  <c r="AL142" i="1"/>
  <c r="AM142" i="1"/>
  <c r="AN142" i="1"/>
  <c r="AJ143" i="1"/>
  <c r="AK143" i="1"/>
  <c r="AL143" i="1"/>
  <c r="AM143" i="1"/>
  <c r="AN143" i="1"/>
  <c r="AJ144" i="1"/>
  <c r="AK144" i="1"/>
  <c r="AL144" i="1"/>
  <c r="AM144" i="1"/>
  <c r="AN144" i="1"/>
  <c r="AJ145" i="1"/>
  <c r="AK145" i="1"/>
  <c r="AL145" i="1"/>
  <c r="AM145" i="1"/>
  <c r="AN145" i="1"/>
  <c r="AJ146" i="1"/>
  <c r="AK146" i="1"/>
  <c r="AM146" i="1"/>
  <c r="AN146" i="1"/>
  <c r="AJ147" i="1"/>
  <c r="AK147" i="1"/>
  <c r="AL147" i="1"/>
  <c r="AM147" i="1"/>
  <c r="AN147" i="1"/>
  <c r="AJ148" i="1"/>
  <c r="AK148" i="1"/>
  <c r="AL148" i="1"/>
  <c r="AM148" i="1"/>
  <c r="AN148" i="1"/>
  <c r="AJ149" i="1"/>
  <c r="AK149" i="1"/>
  <c r="AM149" i="1"/>
  <c r="AN149" i="1"/>
  <c r="AJ150" i="1"/>
  <c r="AK150" i="1"/>
  <c r="AL150" i="1"/>
  <c r="AM150" i="1"/>
  <c r="AN150" i="1"/>
  <c r="AJ151" i="1"/>
  <c r="AK151" i="1"/>
  <c r="AL151" i="1"/>
  <c r="AM151" i="1"/>
  <c r="AN151" i="1"/>
  <c r="AJ152" i="1"/>
  <c r="AK152" i="1"/>
  <c r="AM152" i="1"/>
  <c r="AN152" i="1"/>
  <c r="AJ153" i="1"/>
  <c r="AK153" i="1"/>
  <c r="AL153" i="1"/>
  <c r="AM153" i="1"/>
  <c r="AN153" i="1"/>
  <c r="AJ154" i="1"/>
  <c r="AK154" i="1"/>
  <c r="AL154" i="1"/>
  <c r="AM154" i="1"/>
  <c r="AN154" i="1"/>
  <c r="AJ155" i="1"/>
  <c r="AK155" i="1"/>
  <c r="AM155" i="1"/>
  <c r="AN155" i="1"/>
  <c r="AJ156" i="1"/>
  <c r="AK156" i="1"/>
  <c r="AL156" i="1"/>
  <c r="AM156" i="1"/>
  <c r="AN156" i="1"/>
  <c r="AJ157" i="1"/>
  <c r="AK157" i="1"/>
  <c r="AL157" i="1"/>
  <c r="AM157" i="1"/>
  <c r="AN157" i="1"/>
  <c r="AJ158" i="1"/>
  <c r="AK158" i="1"/>
  <c r="AM158" i="1"/>
  <c r="AN158" i="1"/>
  <c r="AJ159" i="1"/>
  <c r="AK159" i="1"/>
  <c r="AL159" i="1"/>
  <c r="AM159" i="1"/>
  <c r="AN159" i="1"/>
  <c r="AJ160" i="1"/>
  <c r="AK160" i="1"/>
  <c r="AL160" i="1"/>
  <c r="AM160" i="1"/>
  <c r="AN160" i="1"/>
  <c r="AJ161" i="1"/>
  <c r="AK161" i="1"/>
  <c r="AM161" i="1"/>
  <c r="AN161" i="1"/>
  <c r="AJ162" i="1"/>
  <c r="AK162" i="1"/>
  <c r="AL162" i="1"/>
  <c r="AM162" i="1"/>
  <c r="AN162" i="1"/>
  <c r="AJ163" i="1"/>
  <c r="AK163" i="1"/>
  <c r="AL163" i="1"/>
  <c r="AM163" i="1"/>
  <c r="AN163" i="1"/>
  <c r="AJ164" i="1"/>
  <c r="AK164" i="1"/>
  <c r="AM164" i="1"/>
  <c r="AN164" i="1"/>
  <c r="AJ165" i="1"/>
  <c r="AK165" i="1"/>
  <c r="AL165" i="1"/>
  <c r="AM165" i="1"/>
  <c r="AN165" i="1"/>
  <c r="AJ166" i="1"/>
  <c r="AK166" i="1"/>
  <c r="AL166" i="1"/>
  <c r="AM166" i="1"/>
  <c r="AN166" i="1"/>
  <c r="AJ167" i="1"/>
  <c r="AK167" i="1"/>
  <c r="AM167" i="1"/>
  <c r="AN167" i="1"/>
  <c r="AJ168" i="1"/>
  <c r="AK168" i="1"/>
  <c r="AL168" i="1"/>
  <c r="AM168" i="1"/>
  <c r="AN168" i="1"/>
  <c r="AJ169" i="1"/>
  <c r="AK169" i="1"/>
  <c r="AL169" i="1"/>
  <c r="AM169" i="1"/>
  <c r="AN169" i="1"/>
  <c r="AJ170" i="1"/>
  <c r="AK170" i="1"/>
  <c r="AM170" i="1"/>
  <c r="AN170" i="1"/>
  <c r="AJ171" i="1"/>
  <c r="AK171" i="1"/>
  <c r="AL171" i="1"/>
  <c r="AM171" i="1"/>
  <c r="AN171" i="1"/>
  <c r="AJ172" i="1"/>
  <c r="AK172" i="1"/>
  <c r="AL172" i="1"/>
  <c r="AM172" i="1"/>
  <c r="AN172" i="1"/>
  <c r="AJ173" i="1"/>
  <c r="AK173" i="1"/>
  <c r="AM173" i="1"/>
  <c r="AN173" i="1"/>
  <c r="AJ174" i="1"/>
  <c r="AK174" i="1"/>
  <c r="AL174" i="1"/>
  <c r="AM174" i="1"/>
  <c r="AN174" i="1"/>
  <c r="AJ175" i="1"/>
  <c r="AK175" i="1"/>
  <c r="AL175" i="1"/>
  <c r="AM175" i="1"/>
  <c r="AN175" i="1"/>
  <c r="AJ176" i="1"/>
  <c r="AK176" i="1"/>
  <c r="AM176" i="1"/>
  <c r="AN176" i="1"/>
  <c r="AJ177" i="1"/>
  <c r="AK177" i="1"/>
  <c r="AL177" i="1"/>
  <c r="AM177" i="1"/>
  <c r="AN177" i="1"/>
  <c r="AJ178" i="1"/>
  <c r="AK178" i="1"/>
  <c r="AL178" i="1"/>
  <c r="AM178" i="1"/>
  <c r="AN178" i="1"/>
  <c r="AJ179" i="1"/>
  <c r="AK179" i="1"/>
  <c r="AM179" i="1"/>
  <c r="AN179" i="1"/>
  <c r="AJ180" i="1"/>
  <c r="AK180" i="1"/>
  <c r="AL180" i="1"/>
  <c r="AM180" i="1"/>
  <c r="AN180" i="1"/>
  <c r="AJ181" i="1"/>
  <c r="AK181" i="1"/>
  <c r="AL181" i="1"/>
  <c r="AM181" i="1"/>
  <c r="AN181" i="1"/>
  <c r="AJ182" i="1"/>
  <c r="AK182" i="1"/>
  <c r="AM182" i="1"/>
  <c r="AN182" i="1"/>
  <c r="AJ183" i="1"/>
  <c r="AK183" i="1"/>
  <c r="AL183" i="1"/>
  <c r="AM183" i="1"/>
  <c r="AN183" i="1"/>
  <c r="AJ184" i="1"/>
  <c r="AK184" i="1"/>
  <c r="AL184" i="1"/>
  <c r="AM184" i="1"/>
  <c r="AN184" i="1"/>
  <c r="AJ185" i="1"/>
  <c r="AK185" i="1"/>
  <c r="AM185" i="1"/>
  <c r="AN185" i="1"/>
  <c r="AJ186" i="1"/>
  <c r="AK186" i="1"/>
  <c r="AL186" i="1"/>
  <c r="AM186" i="1"/>
  <c r="AN186" i="1"/>
  <c r="AJ187" i="1"/>
  <c r="AK187" i="1"/>
  <c r="AL187" i="1"/>
  <c r="AM187" i="1"/>
  <c r="AN187" i="1"/>
  <c r="AJ188" i="1"/>
  <c r="AK188" i="1"/>
  <c r="AM188" i="1"/>
  <c r="AN188" i="1"/>
  <c r="AJ189" i="1"/>
  <c r="AK189" i="1"/>
  <c r="AL189" i="1"/>
  <c r="AM189" i="1"/>
  <c r="AN189" i="1"/>
  <c r="AJ190" i="1"/>
  <c r="AK190" i="1"/>
  <c r="AL190" i="1"/>
  <c r="AM190" i="1"/>
  <c r="AN190" i="1"/>
  <c r="AJ191" i="1"/>
  <c r="AK191" i="1"/>
  <c r="AM191" i="1"/>
  <c r="AN191" i="1"/>
  <c r="AJ192" i="1"/>
  <c r="AK192" i="1"/>
  <c r="AL192" i="1"/>
  <c r="AM192" i="1"/>
  <c r="AN192" i="1"/>
  <c r="AJ193" i="1"/>
  <c r="AK193" i="1"/>
  <c r="AL193" i="1"/>
  <c r="AM193" i="1"/>
  <c r="AN193" i="1"/>
  <c r="AJ194" i="1"/>
  <c r="AK194" i="1"/>
  <c r="AM194" i="1"/>
  <c r="AN194" i="1"/>
  <c r="AJ195" i="1"/>
  <c r="AK195" i="1"/>
  <c r="AL195" i="1"/>
  <c r="AM195" i="1"/>
  <c r="AN195" i="1"/>
  <c r="AJ196" i="1"/>
  <c r="AK196" i="1"/>
  <c r="AL196" i="1"/>
  <c r="AM196" i="1"/>
  <c r="AN196" i="1"/>
  <c r="AJ197" i="1"/>
  <c r="AK197" i="1"/>
  <c r="AM197" i="1"/>
  <c r="AN197" i="1"/>
  <c r="AJ198" i="1"/>
  <c r="AK198" i="1"/>
  <c r="AL198" i="1"/>
  <c r="AM198" i="1"/>
  <c r="AN198" i="1"/>
  <c r="AJ199" i="1"/>
  <c r="AK199" i="1"/>
  <c r="AL199" i="1"/>
  <c r="AM199" i="1"/>
  <c r="AN199" i="1"/>
  <c r="AJ200" i="1"/>
  <c r="AK200" i="1"/>
  <c r="AM200" i="1"/>
  <c r="AN200" i="1"/>
  <c r="AJ201" i="1"/>
  <c r="AK201" i="1"/>
  <c r="AL201" i="1"/>
  <c r="AM201" i="1"/>
  <c r="AN201" i="1"/>
  <c r="AJ202" i="1"/>
  <c r="AK202" i="1"/>
  <c r="AL202" i="1"/>
  <c r="AM202" i="1"/>
  <c r="AN202" i="1"/>
  <c r="AJ203" i="1"/>
  <c r="AK203" i="1"/>
  <c r="AM203" i="1"/>
  <c r="AN203" i="1"/>
  <c r="AJ204" i="1"/>
  <c r="AK204" i="1"/>
  <c r="AL204" i="1"/>
  <c r="AM204" i="1"/>
  <c r="AN204" i="1"/>
  <c r="AJ205" i="1"/>
  <c r="AK205" i="1"/>
  <c r="AL205" i="1"/>
  <c r="AM205" i="1"/>
  <c r="AN205" i="1"/>
  <c r="AJ206" i="1"/>
  <c r="AK206" i="1"/>
  <c r="AM206" i="1"/>
  <c r="AN206" i="1"/>
  <c r="AJ207" i="1"/>
  <c r="AK207" i="1"/>
  <c r="AL207" i="1"/>
  <c r="AM207" i="1"/>
  <c r="AN207" i="1"/>
  <c r="AJ208" i="1"/>
  <c r="AK208" i="1"/>
  <c r="AL208" i="1"/>
  <c r="AM208" i="1"/>
  <c r="AN208" i="1"/>
  <c r="AJ209" i="1"/>
  <c r="AK209" i="1"/>
  <c r="AM209" i="1"/>
  <c r="AN209" i="1"/>
  <c r="AJ210" i="1"/>
  <c r="AK210" i="1"/>
  <c r="AL210" i="1"/>
  <c r="AM210" i="1"/>
  <c r="AN210" i="1"/>
  <c r="AJ211" i="1"/>
  <c r="AK211" i="1"/>
  <c r="AL211" i="1"/>
  <c r="AM211" i="1"/>
  <c r="AN211" i="1"/>
  <c r="AJ212" i="1"/>
  <c r="AK212" i="1"/>
  <c r="AM212" i="1"/>
  <c r="AN212" i="1"/>
  <c r="AJ213" i="1"/>
  <c r="AK213" i="1"/>
  <c r="AL213" i="1"/>
  <c r="AM213" i="1"/>
  <c r="AN213" i="1"/>
  <c r="AJ214" i="1"/>
  <c r="AK214" i="1"/>
  <c r="AL214" i="1"/>
  <c r="AM214" i="1"/>
  <c r="AN214" i="1"/>
  <c r="AJ215" i="1"/>
  <c r="AK215" i="1"/>
  <c r="AM215" i="1"/>
  <c r="AN215" i="1"/>
  <c r="AJ216" i="1"/>
  <c r="AK216" i="1"/>
  <c r="AL216" i="1"/>
  <c r="AM216" i="1"/>
  <c r="AN216" i="1"/>
  <c r="AJ217" i="1"/>
  <c r="AK217" i="1"/>
  <c r="AL217" i="1"/>
  <c r="AM217" i="1"/>
  <c r="AN217" i="1"/>
  <c r="AJ218" i="1"/>
  <c r="AK218" i="1"/>
  <c r="AM218" i="1"/>
  <c r="AN218" i="1"/>
  <c r="AJ219" i="1"/>
  <c r="AK219" i="1"/>
  <c r="AL219" i="1"/>
  <c r="AM219" i="1"/>
  <c r="AN219" i="1"/>
  <c r="AJ220" i="1"/>
  <c r="AK220" i="1"/>
  <c r="AL220" i="1"/>
  <c r="AM220" i="1"/>
  <c r="AN220" i="1"/>
  <c r="AJ221" i="1"/>
  <c r="AK221" i="1"/>
  <c r="AM221" i="1"/>
  <c r="AN221" i="1"/>
  <c r="AJ222" i="1"/>
  <c r="AK222" i="1"/>
  <c r="AL222" i="1"/>
  <c r="AM222" i="1"/>
  <c r="AN222" i="1"/>
  <c r="AJ223" i="1"/>
  <c r="AK223" i="1"/>
  <c r="AL223" i="1"/>
  <c r="AM223" i="1"/>
  <c r="AN223" i="1"/>
  <c r="AJ224" i="1"/>
  <c r="AK224" i="1"/>
  <c r="AM224" i="1"/>
  <c r="AN224" i="1"/>
  <c r="AJ225" i="1"/>
  <c r="AK225" i="1"/>
  <c r="AL225" i="1"/>
  <c r="AM225" i="1"/>
  <c r="AN225" i="1"/>
  <c r="AJ226" i="1"/>
  <c r="AK226" i="1"/>
  <c r="AL226" i="1"/>
  <c r="AM226" i="1"/>
  <c r="AN226" i="1"/>
  <c r="AJ227" i="1"/>
  <c r="AK227" i="1"/>
  <c r="AM227" i="1"/>
  <c r="AN227" i="1"/>
  <c r="AJ228" i="1"/>
  <c r="AK228" i="1"/>
  <c r="AL228" i="1"/>
  <c r="AM228" i="1"/>
  <c r="AN228" i="1"/>
  <c r="AJ229" i="1"/>
  <c r="AK229" i="1"/>
  <c r="AL229" i="1"/>
  <c r="AM229" i="1"/>
  <c r="AN229" i="1"/>
  <c r="AJ230" i="1"/>
  <c r="AK230" i="1"/>
  <c r="AM230" i="1"/>
  <c r="AN230" i="1"/>
  <c r="AJ231" i="1"/>
  <c r="AK231" i="1"/>
  <c r="AL231" i="1"/>
  <c r="AM231" i="1"/>
  <c r="AN231" i="1"/>
  <c r="AJ232" i="1"/>
  <c r="AK232" i="1"/>
  <c r="AL232" i="1"/>
  <c r="AM232" i="1"/>
  <c r="AN232" i="1"/>
  <c r="AJ233" i="1"/>
  <c r="AK233" i="1"/>
  <c r="AM233" i="1"/>
  <c r="AN233" i="1"/>
  <c r="AJ234" i="1"/>
  <c r="AK234" i="1"/>
  <c r="AL234" i="1"/>
  <c r="AM234" i="1"/>
  <c r="AN234" i="1"/>
  <c r="AJ235" i="1"/>
  <c r="AK235" i="1"/>
  <c r="AL235" i="1"/>
  <c r="AM235" i="1"/>
  <c r="AN235" i="1"/>
  <c r="AJ236" i="1"/>
  <c r="AK236" i="1"/>
  <c r="AM236" i="1"/>
  <c r="AN236" i="1"/>
  <c r="AJ237" i="1"/>
  <c r="AK237" i="1"/>
  <c r="AL237" i="1"/>
  <c r="AM237" i="1"/>
  <c r="AN237" i="1"/>
  <c r="AJ238" i="1"/>
  <c r="AK238" i="1"/>
  <c r="AL238" i="1"/>
  <c r="AM238" i="1"/>
  <c r="AN238" i="1"/>
  <c r="AJ239" i="1"/>
  <c r="AK239" i="1"/>
  <c r="AM239" i="1"/>
  <c r="AN239" i="1"/>
  <c r="AJ240" i="1"/>
  <c r="AK240" i="1"/>
  <c r="AL240" i="1"/>
  <c r="AM240" i="1"/>
  <c r="AN240" i="1"/>
  <c r="AJ241" i="1"/>
  <c r="AK241" i="1"/>
  <c r="AL241" i="1"/>
  <c r="AM241" i="1"/>
  <c r="AN241" i="1"/>
  <c r="AJ242" i="1"/>
  <c r="AK242" i="1"/>
  <c r="AM242" i="1"/>
  <c r="AN242" i="1"/>
  <c r="AJ243" i="1"/>
  <c r="AK243" i="1"/>
  <c r="AL243" i="1"/>
  <c r="AM243" i="1"/>
  <c r="AN243" i="1"/>
  <c r="AJ244" i="1"/>
  <c r="AK244" i="1"/>
  <c r="AL244" i="1"/>
  <c r="AM244" i="1"/>
  <c r="AN244" i="1"/>
  <c r="AJ245" i="1"/>
  <c r="AK245" i="1"/>
  <c r="AM245" i="1"/>
  <c r="AN245" i="1"/>
  <c r="AJ246" i="1"/>
  <c r="AK246" i="1"/>
  <c r="AL246" i="1"/>
  <c r="AM246" i="1"/>
  <c r="AN246" i="1"/>
  <c r="AJ247" i="1"/>
  <c r="AK247" i="1"/>
  <c r="AL247" i="1"/>
  <c r="AM247" i="1"/>
  <c r="AN247" i="1"/>
  <c r="AJ248" i="1"/>
  <c r="AK248" i="1"/>
  <c r="AM248" i="1"/>
  <c r="AN248" i="1"/>
  <c r="AJ249" i="1"/>
  <c r="AK249" i="1"/>
  <c r="AL249" i="1"/>
  <c r="AM249" i="1"/>
  <c r="AN249" i="1"/>
  <c r="AJ250" i="1"/>
  <c r="AK250" i="1"/>
  <c r="AL250" i="1"/>
  <c r="AM250" i="1"/>
  <c r="AN250" i="1"/>
  <c r="AJ251" i="1"/>
  <c r="AK251" i="1"/>
  <c r="AM251" i="1"/>
  <c r="AN251" i="1"/>
  <c r="AJ252" i="1"/>
  <c r="AK252" i="1"/>
  <c r="AL252" i="1"/>
  <c r="AM252" i="1"/>
  <c r="AN252" i="1"/>
  <c r="AJ253" i="1"/>
  <c r="AK253" i="1"/>
  <c r="AL253" i="1"/>
  <c r="AM253" i="1"/>
  <c r="AN253" i="1"/>
  <c r="AJ254" i="1"/>
  <c r="AK254" i="1"/>
  <c r="AM254" i="1"/>
  <c r="AN254" i="1"/>
  <c r="AJ255" i="1"/>
  <c r="AK255" i="1"/>
  <c r="AL255" i="1"/>
  <c r="AM255" i="1"/>
  <c r="AN255" i="1"/>
  <c r="AJ256" i="1"/>
  <c r="AK256" i="1"/>
  <c r="AL256" i="1"/>
  <c r="AM256" i="1"/>
  <c r="AN256" i="1"/>
  <c r="AJ257" i="1"/>
  <c r="AK257" i="1"/>
  <c r="AM257" i="1"/>
  <c r="AN257" i="1"/>
  <c r="AJ258" i="1"/>
  <c r="AK258" i="1"/>
  <c r="AL258" i="1"/>
  <c r="AM258" i="1"/>
  <c r="AN258" i="1"/>
  <c r="AJ259" i="1"/>
  <c r="AK259" i="1"/>
  <c r="AL259" i="1"/>
  <c r="AM259" i="1"/>
  <c r="AN259" i="1"/>
  <c r="AM260" i="1"/>
  <c r="AM261" i="1"/>
  <c r="AM262" i="1"/>
  <c r="AJ266" i="1"/>
  <c r="AK266" i="1"/>
  <c r="AM266" i="1"/>
  <c r="AN266" i="1"/>
  <c r="AJ267" i="1"/>
  <c r="AK267" i="1"/>
  <c r="AL267" i="1"/>
  <c r="AM267" i="1"/>
  <c r="AN267" i="1"/>
  <c r="AJ268" i="1"/>
  <c r="AK268" i="1"/>
  <c r="AL268" i="1"/>
  <c r="AM268" i="1"/>
  <c r="AN268" i="1"/>
  <c r="AJ269" i="1"/>
  <c r="AK269" i="1"/>
  <c r="AM269" i="1"/>
  <c r="AN269" i="1"/>
  <c r="AJ270" i="1"/>
  <c r="AK270" i="1"/>
  <c r="AL270" i="1"/>
  <c r="AM270" i="1"/>
  <c r="AN270" i="1"/>
  <c r="AJ271" i="1"/>
  <c r="AK271" i="1"/>
  <c r="AL271" i="1"/>
  <c r="AM271" i="1"/>
  <c r="AN271" i="1"/>
  <c r="AJ272" i="1"/>
  <c r="AK272" i="1"/>
  <c r="AM272" i="1"/>
  <c r="AN272" i="1"/>
  <c r="AJ273" i="1"/>
  <c r="AK273" i="1"/>
  <c r="AL273" i="1"/>
  <c r="AM273" i="1"/>
  <c r="AN273" i="1"/>
  <c r="AJ274" i="1"/>
  <c r="AK274" i="1"/>
  <c r="AL274" i="1"/>
  <c r="AM274" i="1"/>
  <c r="AN274" i="1"/>
  <c r="AJ275" i="1"/>
  <c r="AK275" i="1"/>
  <c r="AM275" i="1"/>
  <c r="AN275" i="1"/>
  <c r="AJ276" i="1"/>
  <c r="AK276" i="1"/>
  <c r="AL276" i="1"/>
  <c r="AM276" i="1"/>
  <c r="AN276" i="1"/>
  <c r="AJ277" i="1"/>
  <c r="AK277" i="1"/>
  <c r="AL277" i="1"/>
  <c r="AM277" i="1"/>
  <c r="AN277" i="1"/>
  <c r="AJ278" i="1"/>
  <c r="AK278" i="1"/>
  <c r="AM278" i="1"/>
  <c r="AN278" i="1"/>
  <c r="AJ279" i="1"/>
  <c r="AK279" i="1"/>
  <c r="AL279" i="1"/>
  <c r="AM279" i="1"/>
  <c r="AN279" i="1"/>
  <c r="AJ280" i="1"/>
  <c r="AK280" i="1"/>
  <c r="AL280" i="1"/>
  <c r="AM280" i="1"/>
  <c r="AN280" i="1"/>
  <c r="AJ281" i="1"/>
  <c r="AK281" i="1"/>
  <c r="AM281" i="1"/>
  <c r="AN281" i="1"/>
  <c r="AJ282" i="1"/>
  <c r="AK282" i="1"/>
  <c r="AL282" i="1"/>
  <c r="AM282" i="1"/>
  <c r="AN282" i="1"/>
  <c r="AJ283" i="1"/>
  <c r="AK283" i="1"/>
  <c r="AL283" i="1"/>
  <c r="AM283" i="1"/>
  <c r="AN283" i="1"/>
  <c r="AJ284" i="1"/>
  <c r="AK284" i="1"/>
  <c r="AM284" i="1"/>
  <c r="AN284" i="1"/>
  <c r="AJ285" i="1"/>
  <c r="AK285" i="1"/>
  <c r="AL285" i="1"/>
  <c r="AM285" i="1"/>
  <c r="AN285" i="1"/>
  <c r="AJ286" i="1"/>
  <c r="AK286" i="1"/>
  <c r="AL286" i="1"/>
  <c r="AM286" i="1"/>
  <c r="AN286" i="1"/>
  <c r="AJ287" i="1"/>
  <c r="AK287" i="1"/>
  <c r="AM287" i="1"/>
  <c r="AN287" i="1"/>
  <c r="AJ288" i="1"/>
  <c r="AK288" i="1"/>
  <c r="AL288" i="1"/>
  <c r="AM288" i="1"/>
  <c r="AN288" i="1"/>
  <c r="AJ289" i="1"/>
  <c r="AK289" i="1"/>
  <c r="AL289" i="1"/>
  <c r="AM289" i="1"/>
  <c r="AN289" i="1"/>
  <c r="AJ290" i="1"/>
  <c r="AK290" i="1"/>
  <c r="AM290" i="1"/>
  <c r="AN290" i="1"/>
  <c r="AJ291" i="1"/>
  <c r="AK291" i="1"/>
  <c r="AL291" i="1"/>
  <c r="AM291" i="1"/>
  <c r="AN291" i="1"/>
  <c r="AJ292" i="1"/>
  <c r="AK292" i="1"/>
  <c r="AL292" i="1"/>
  <c r="AM292" i="1"/>
  <c r="AN292" i="1"/>
  <c r="AJ293" i="1"/>
  <c r="AK293" i="1"/>
  <c r="AM293" i="1"/>
  <c r="AN293" i="1"/>
  <c r="AJ294" i="1"/>
  <c r="AK294" i="1"/>
  <c r="AL294" i="1"/>
  <c r="AM294" i="1"/>
  <c r="AN294" i="1"/>
  <c r="AJ295" i="1"/>
  <c r="AK295" i="1"/>
  <c r="AL295" i="1"/>
  <c r="AM295" i="1"/>
  <c r="AN295" i="1"/>
  <c r="AJ296" i="1"/>
  <c r="AK296" i="1"/>
  <c r="AM296" i="1"/>
  <c r="AN296" i="1"/>
  <c r="AJ297" i="1"/>
  <c r="AK297" i="1"/>
  <c r="AL297" i="1"/>
  <c r="AM297" i="1"/>
  <c r="AN297" i="1"/>
  <c r="AJ298" i="1"/>
  <c r="AK298" i="1"/>
  <c r="AL298" i="1"/>
  <c r="AM298" i="1"/>
  <c r="AN298" i="1"/>
  <c r="AJ299" i="1"/>
  <c r="AK299" i="1"/>
  <c r="AM299" i="1"/>
  <c r="AN299" i="1"/>
  <c r="AJ300" i="1"/>
  <c r="AK300" i="1"/>
  <c r="AL300" i="1"/>
  <c r="AM300" i="1"/>
  <c r="AN300" i="1"/>
  <c r="AJ301" i="1"/>
  <c r="AK301" i="1"/>
  <c r="AL301" i="1"/>
  <c r="AM301" i="1"/>
  <c r="AN301" i="1"/>
  <c r="AJ302" i="1"/>
  <c r="AK302" i="1"/>
  <c r="AM302" i="1"/>
  <c r="AN302" i="1"/>
  <c r="AJ303" i="1"/>
  <c r="AK303" i="1"/>
  <c r="AL303" i="1"/>
  <c r="AM303" i="1"/>
  <c r="AN303" i="1"/>
  <c r="AJ304" i="1"/>
  <c r="AK304" i="1"/>
  <c r="AL304" i="1"/>
  <c r="AM304" i="1"/>
  <c r="AN304" i="1"/>
  <c r="AJ305" i="1"/>
  <c r="AK305" i="1"/>
  <c r="AM305" i="1"/>
  <c r="AN305" i="1"/>
  <c r="AJ306" i="1"/>
  <c r="AK306" i="1"/>
  <c r="AL306" i="1"/>
  <c r="AM306" i="1"/>
  <c r="AN306" i="1"/>
  <c r="AJ307" i="1"/>
  <c r="AK307" i="1"/>
  <c r="AL307" i="1"/>
  <c r="AM307" i="1"/>
  <c r="AN307" i="1"/>
  <c r="AJ308" i="1"/>
  <c r="AK308" i="1"/>
  <c r="AM308" i="1"/>
  <c r="AN308" i="1"/>
  <c r="AJ309" i="1"/>
  <c r="AK309" i="1"/>
  <c r="AL309" i="1"/>
  <c r="AM309" i="1"/>
  <c r="AN309" i="1"/>
  <c r="AJ310" i="1"/>
  <c r="AK310" i="1"/>
  <c r="AL310" i="1"/>
  <c r="AM310" i="1"/>
  <c r="AN310" i="1"/>
  <c r="AJ311" i="1"/>
  <c r="AK311" i="1"/>
  <c r="AM311" i="1"/>
  <c r="AN311" i="1"/>
  <c r="AJ312" i="1"/>
  <c r="AK312" i="1"/>
  <c r="AL312" i="1"/>
  <c r="AM312" i="1"/>
  <c r="AN312" i="1"/>
  <c r="AJ313" i="1"/>
  <c r="AK313" i="1"/>
  <c r="AL313" i="1"/>
  <c r="AM313" i="1"/>
  <c r="AN313" i="1"/>
  <c r="AJ314" i="1"/>
  <c r="AK314" i="1"/>
  <c r="AM314" i="1"/>
  <c r="AN314" i="1"/>
  <c r="AJ315" i="1"/>
  <c r="AK315" i="1"/>
  <c r="AL315" i="1"/>
  <c r="AM315" i="1"/>
  <c r="AN315" i="1"/>
  <c r="AJ316" i="1"/>
  <c r="AK316" i="1"/>
  <c r="AL316" i="1"/>
  <c r="AM316" i="1"/>
  <c r="AN316" i="1"/>
  <c r="AJ317" i="1"/>
  <c r="AK317" i="1"/>
  <c r="AM317" i="1"/>
  <c r="AN317" i="1"/>
  <c r="AJ318" i="1"/>
  <c r="AK318" i="1"/>
  <c r="AL318" i="1"/>
  <c r="AM318" i="1"/>
  <c r="AN318" i="1"/>
  <c r="AJ319" i="1"/>
  <c r="AK319" i="1"/>
  <c r="AL319" i="1"/>
  <c r="AM319" i="1"/>
  <c r="AN319" i="1"/>
  <c r="AJ320" i="1"/>
  <c r="AK320" i="1"/>
  <c r="AM320" i="1"/>
  <c r="AN320" i="1"/>
  <c r="AJ321" i="1"/>
  <c r="AK321" i="1"/>
  <c r="AL321" i="1"/>
  <c r="AM321" i="1"/>
  <c r="AN321" i="1"/>
  <c r="AJ322" i="1"/>
  <c r="AK322" i="1"/>
  <c r="AL322" i="1"/>
  <c r="AM322" i="1"/>
  <c r="AN322" i="1"/>
  <c r="AJ323" i="1"/>
  <c r="AK323" i="1"/>
  <c r="AM323" i="1"/>
  <c r="AN323" i="1"/>
  <c r="AJ324" i="1"/>
  <c r="AK324" i="1"/>
  <c r="AL324" i="1"/>
  <c r="AM324" i="1"/>
  <c r="AN324" i="1"/>
  <c r="AJ325" i="1"/>
  <c r="AK325" i="1"/>
  <c r="AL325" i="1"/>
  <c r="AM325" i="1"/>
  <c r="AN325" i="1"/>
  <c r="AJ326" i="1"/>
  <c r="AK326" i="1"/>
  <c r="AM326" i="1"/>
  <c r="AN326" i="1"/>
  <c r="AJ327" i="1"/>
  <c r="AK327" i="1"/>
  <c r="AL327" i="1"/>
  <c r="AM327" i="1"/>
  <c r="AN327" i="1"/>
  <c r="AJ328" i="1"/>
  <c r="AK328" i="1"/>
  <c r="AL328" i="1"/>
  <c r="AM328" i="1"/>
  <c r="AN328" i="1"/>
  <c r="AJ329" i="1"/>
  <c r="AK329" i="1"/>
  <c r="AM329" i="1"/>
  <c r="AN329" i="1"/>
  <c r="AJ330" i="1"/>
  <c r="AK330" i="1"/>
  <c r="AL330" i="1"/>
  <c r="AM330" i="1"/>
  <c r="AN330" i="1"/>
  <c r="AJ331" i="1"/>
  <c r="AK331" i="1"/>
  <c r="AL331" i="1"/>
  <c r="AM331" i="1"/>
  <c r="AN331" i="1"/>
  <c r="AJ332" i="1"/>
  <c r="AK332" i="1"/>
  <c r="AM332" i="1"/>
  <c r="AN332" i="1"/>
  <c r="AJ333" i="1"/>
  <c r="AK333" i="1"/>
  <c r="AL333" i="1"/>
  <c r="AM333" i="1"/>
  <c r="AN333" i="1"/>
  <c r="AJ334" i="1"/>
  <c r="AK334" i="1"/>
  <c r="AL334" i="1"/>
  <c r="AM334" i="1"/>
  <c r="AN334" i="1"/>
  <c r="AJ335" i="1"/>
  <c r="AK335" i="1"/>
  <c r="AM335" i="1"/>
  <c r="AN335" i="1"/>
  <c r="AJ336" i="1"/>
  <c r="AK336" i="1"/>
  <c r="AL336" i="1"/>
  <c r="AM336" i="1"/>
  <c r="AN336" i="1"/>
  <c r="AJ337" i="1"/>
  <c r="AK337" i="1"/>
  <c r="AL337" i="1"/>
  <c r="AM337" i="1"/>
  <c r="AN337" i="1"/>
  <c r="AJ338" i="1"/>
  <c r="AK338" i="1"/>
  <c r="AM338" i="1"/>
  <c r="AN338" i="1"/>
  <c r="AJ339" i="1"/>
  <c r="AK339" i="1"/>
  <c r="AL339" i="1"/>
  <c r="AM339" i="1"/>
  <c r="AN339" i="1"/>
  <c r="AJ340" i="1"/>
  <c r="AK340" i="1"/>
  <c r="AL340" i="1"/>
  <c r="AM340" i="1"/>
  <c r="AN340" i="1"/>
  <c r="AJ341" i="1"/>
  <c r="AK341" i="1"/>
  <c r="AM341" i="1"/>
  <c r="AN341" i="1"/>
  <c r="AJ342" i="1"/>
  <c r="AK342" i="1"/>
  <c r="AL342" i="1"/>
  <c r="AM342" i="1"/>
  <c r="AN342" i="1"/>
  <c r="AJ343" i="1"/>
  <c r="AK343" i="1"/>
  <c r="AL343" i="1"/>
  <c r="AM343" i="1"/>
  <c r="AN343" i="1"/>
  <c r="AJ344" i="1"/>
  <c r="AK344" i="1"/>
  <c r="AM344" i="1"/>
  <c r="AN344" i="1"/>
  <c r="AJ345" i="1"/>
  <c r="AK345" i="1"/>
  <c r="AL345" i="1"/>
  <c r="AM345" i="1"/>
  <c r="AN345" i="1"/>
  <c r="AJ346" i="1"/>
  <c r="AK346" i="1"/>
  <c r="AL346" i="1"/>
  <c r="AM346" i="1"/>
  <c r="AN346" i="1"/>
  <c r="AJ347" i="1"/>
  <c r="AK347" i="1"/>
  <c r="AM347" i="1"/>
  <c r="AN347" i="1"/>
  <c r="AJ348" i="1"/>
  <c r="AK348" i="1"/>
  <c r="AL348" i="1"/>
  <c r="AM348" i="1"/>
  <c r="AN348" i="1"/>
  <c r="AJ349" i="1"/>
  <c r="AK349" i="1"/>
  <c r="AL349" i="1"/>
  <c r="AM349" i="1"/>
  <c r="AN349" i="1"/>
  <c r="AJ350" i="1"/>
  <c r="AK350" i="1"/>
  <c r="AM350" i="1"/>
  <c r="AN350" i="1"/>
  <c r="AJ351" i="1"/>
  <c r="AK351" i="1"/>
  <c r="AL351" i="1"/>
  <c r="AM351" i="1"/>
  <c r="AN351" i="1"/>
  <c r="AJ352" i="1"/>
  <c r="AK352" i="1"/>
  <c r="AL352" i="1"/>
  <c r="AM352" i="1"/>
  <c r="AN352" i="1"/>
  <c r="AJ353" i="1"/>
  <c r="AK353" i="1"/>
  <c r="AM353" i="1"/>
  <c r="AN353" i="1"/>
  <c r="AJ354" i="1"/>
  <c r="AK354" i="1"/>
  <c r="AL354" i="1"/>
  <c r="AM354" i="1"/>
  <c r="AN354" i="1"/>
  <c r="AJ355" i="1"/>
  <c r="AK355" i="1"/>
  <c r="AL355" i="1"/>
  <c r="AM355" i="1"/>
  <c r="AN355" i="1"/>
  <c r="AJ356" i="1"/>
  <c r="AK356" i="1"/>
  <c r="AM356" i="1"/>
  <c r="AN356" i="1"/>
  <c r="AJ357" i="1"/>
  <c r="AK357" i="1"/>
  <c r="AL357" i="1"/>
  <c r="AM357" i="1"/>
  <c r="AN357" i="1"/>
  <c r="AJ358" i="1"/>
  <c r="AK358" i="1"/>
  <c r="AL358" i="1"/>
  <c r="AM358" i="1"/>
  <c r="AN358" i="1"/>
  <c r="AJ359" i="1"/>
  <c r="AK359" i="1"/>
  <c r="AM359" i="1"/>
  <c r="AN359" i="1"/>
  <c r="AJ360" i="1"/>
  <c r="AK360" i="1"/>
  <c r="AL360" i="1"/>
  <c r="AM360" i="1"/>
  <c r="AN360" i="1"/>
  <c r="AJ361" i="1"/>
  <c r="AK361" i="1"/>
  <c r="AL361" i="1"/>
  <c r="AM361" i="1"/>
  <c r="AN361" i="1"/>
  <c r="AJ362" i="1"/>
  <c r="AK362" i="1"/>
  <c r="AM362" i="1"/>
  <c r="AN362" i="1"/>
  <c r="AJ363" i="1"/>
  <c r="AK363" i="1"/>
  <c r="AL363" i="1"/>
  <c r="AM363" i="1"/>
  <c r="AN363" i="1"/>
  <c r="AJ364" i="1"/>
  <c r="AK364" i="1"/>
  <c r="AL364" i="1"/>
  <c r="AM364" i="1"/>
  <c r="AN364" i="1"/>
  <c r="AJ365" i="1"/>
  <c r="AK365" i="1"/>
  <c r="AM365" i="1"/>
  <c r="AN365" i="1"/>
  <c r="AJ366" i="1"/>
  <c r="AK366" i="1"/>
  <c r="AL366" i="1"/>
  <c r="AM366" i="1"/>
  <c r="AN366" i="1"/>
  <c r="AJ367" i="1"/>
  <c r="AK367" i="1"/>
  <c r="AL367" i="1"/>
  <c r="AM367" i="1"/>
  <c r="AN367" i="1"/>
  <c r="AJ368" i="1"/>
  <c r="AK368" i="1"/>
  <c r="AM368" i="1"/>
  <c r="AN368" i="1"/>
  <c r="AJ369" i="1"/>
  <c r="AK369" i="1"/>
  <c r="AL369" i="1"/>
  <c r="AM369" i="1"/>
  <c r="AN369" i="1"/>
  <c r="AJ370" i="1"/>
  <c r="AK370" i="1"/>
  <c r="AL370" i="1"/>
  <c r="AM370" i="1"/>
  <c r="AN370" i="1"/>
  <c r="AJ371" i="1"/>
  <c r="AK371" i="1"/>
  <c r="AM371" i="1"/>
  <c r="AN371" i="1"/>
  <c r="AJ372" i="1"/>
  <c r="AK372" i="1"/>
  <c r="AL372" i="1"/>
  <c r="AM372" i="1"/>
  <c r="AN372" i="1"/>
  <c r="AJ373" i="1"/>
  <c r="AK373" i="1"/>
  <c r="AL373" i="1"/>
  <c r="AM373" i="1"/>
  <c r="AN373" i="1"/>
  <c r="AN2" i="1"/>
  <c r="AM2" i="1"/>
  <c r="AK2" i="1"/>
  <c r="AE3" i="1"/>
  <c r="AF3" i="1"/>
  <c r="AG3" i="1"/>
  <c r="AH3" i="1"/>
  <c r="AI3" i="1"/>
  <c r="AE4" i="1"/>
  <c r="AF4" i="1"/>
  <c r="AG4" i="1"/>
  <c r="AH4" i="1"/>
  <c r="AI4" i="1"/>
  <c r="AE5" i="1"/>
  <c r="AF5" i="1"/>
  <c r="AH5" i="1"/>
  <c r="AI5" i="1"/>
  <c r="AE6" i="1"/>
  <c r="AF6" i="1"/>
  <c r="AG6" i="1"/>
  <c r="AH6" i="1"/>
  <c r="AI6" i="1"/>
  <c r="AE7" i="1"/>
  <c r="AF7" i="1"/>
  <c r="AG7" i="1"/>
  <c r="AH7" i="1"/>
  <c r="AI7" i="1"/>
  <c r="AE8" i="1"/>
  <c r="AF8" i="1"/>
  <c r="AH8" i="1"/>
  <c r="AI8" i="1"/>
  <c r="AE9" i="1"/>
  <c r="AF9" i="1"/>
  <c r="AG9" i="1"/>
  <c r="AH9" i="1"/>
  <c r="AI9" i="1"/>
  <c r="AE10" i="1"/>
  <c r="AF10" i="1"/>
  <c r="AG10" i="1"/>
  <c r="AH10" i="1"/>
  <c r="AI10" i="1"/>
  <c r="AE11" i="1"/>
  <c r="AF11" i="1"/>
  <c r="AH11" i="1"/>
  <c r="AI11" i="1"/>
  <c r="AE12" i="1"/>
  <c r="AF12" i="1"/>
  <c r="AG12" i="1"/>
  <c r="AH12" i="1"/>
  <c r="AI12" i="1"/>
  <c r="AE13" i="1"/>
  <c r="AF13" i="1"/>
  <c r="AG13" i="1"/>
  <c r="AH13" i="1"/>
  <c r="AI13" i="1"/>
  <c r="AE14" i="1"/>
  <c r="AF14" i="1"/>
  <c r="AH14" i="1"/>
  <c r="AI14" i="1"/>
  <c r="AE15" i="1"/>
  <c r="AF15" i="1"/>
  <c r="AG15" i="1"/>
  <c r="AH15" i="1"/>
  <c r="AI15" i="1"/>
  <c r="AE16" i="1"/>
  <c r="AF16" i="1"/>
  <c r="AG16" i="1"/>
  <c r="AH16" i="1"/>
  <c r="AI16" i="1"/>
  <c r="AE17" i="1"/>
  <c r="AF17" i="1"/>
  <c r="AH17" i="1"/>
  <c r="AI17" i="1"/>
  <c r="AE18" i="1"/>
  <c r="AF18" i="1"/>
  <c r="AG18" i="1"/>
  <c r="AH18" i="1"/>
  <c r="AI18" i="1"/>
  <c r="AE19" i="1"/>
  <c r="AF19" i="1"/>
  <c r="AG19" i="1"/>
  <c r="AH19" i="1"/>
  <c r="AI19" i="1"/>
  <c r="AE20" i="1"/>
  <c r="AF20" i="1"/>
  <c r="AH20" i="1"/>
  <c r="AI20" i="1"/>
  <c r="AE21" i="1"/>
  <c r="AF21" i="1"/>
  <c r="AG21" i="1"/>
  <c r="AH21" i="1"/>
  <c r="AI21" i="1"/>
  <c r="AE22" i="1"/>
  <c r="AF22" i="1"/>
  <c r="AG22" i="1"/>
  <c r="AH22" i="1"/>
  <c r="AI22" i="1"/>
  <c r="AE23" i="1"/>
  <c r="AF23" i="1"/>
  <c r="AH23" i="1"/>
  <c r="AI23" i="1"/>
  <c r="AE24" i="1"/>
  <c r="AF24" i="1"/>
  <c r="AG24" i="1"/>
  <c r="AH24" i="1"/>
  <c r="AI24" i="1"/>
  <c r="AE25" i="1"/>
  <c r="AF25" i="1"/>
  <c r="AG25" i="1"/>
  <c r="AH25" i="1"/>
  <c r="AI25" i="1"/>
  <c r="AE26" i="1"/>
  <c r="AF26" i="1"/>
  <c r="AH26" i="1"/>
  <c r="AI26" i="1"/>
  <c r="AE27" i="1"/>
  <c r="AF27" i="1"/>
  <c r="AG27" i="1"/>
  <c r="AH27" i="1"/>
  <c r="AI27" i="1"/>
  <c r="AE28" i="1"/>
  <c r="AF28" i="1"/>
  <c r="AG28" i="1"/>
  <c r="AH28" i="1"/>
  <c r="AI28" i="1"/>
  <c r="AE29" i="1"/>
  <c r="AF29" i="1"/>
  <c r="AH29" i="1"/>
  <c r="AI29" i="1"/>
  <c r="AE30" i="1"/>
  <c r="AF30" i="1"/>
  <c r="AG30" i="1"/>
  <c r="AH30" i="1"/>
  <c r="AI30" i="1"/>
  <c r="AE31" i="1"/>
  <c r="AF31" i="1"/>
  <c r="AG31" i="1"/>
  <c r="AH31" i="1"/>
  <c r="AI31" i="1"/>
  <c r="AE32" i="1"/>
  <c r="AF32" i="1"/>
  <c r="AH32" i="1"/>
  <c r="AI32" i="1"/>
  <c r="AE33" i="1"/>
  <c r="AF33" i="1"/>
  <c r="AG33" i="1"/>
  <c r="AH33" i="1"/>
  <c r="AI33" i="1"/>
  <c r="AE34" i="1"/>
  <c r="AF34" i="1"/>
  <c r="AG34" i="1"/>
  <c r="AH34" i="1"/>
  <c r="AI34" i="1"/>
  <c r="AE35" i="1"/>
  <c r="AF35" i="1"/>
  <c r="AH35" i="1"/>
  <c r="AI35" i="1"/>
  <c r="AE36" i="1"/>
  <c r="AF36" i="1"/>
  <c r="AG36" i="1"/>
  <c r="AH36" i="1"/>
  <c r="AI36" i="1"/>
  <c r="AE37" i="1"/>
  <c r="AF37" i="1"/>
  <c r="AG37" i="1"/>
  <c r="AH37" i="1"/>
  <c r="AI37" i="1"/>
  <c r="AE38" i="1"/>
  <c r="AF38" i="1"/>
  <c r="AH38" i="1"/>
  <c r="AI38" i="1"/>
  <c r="AE39" i="1"/>
  <c r="AF39" i="1"/>
  <c r="AG39" i="1"/>
  <c r="AH39" i="1"/>
  <c r="AI39" i="1"/>
  <c r="AE40" i="1"/>
  <c r="AF40" i="1"/>
  <c r="AG40" i="1"/>
  <c r="AH40" i="1"/>
  <c r="AI40" i="1"/>
  <c r="AE41" i="1"/>
  <c r="AF41" i="1"/>
  <c r="AH41" i="1"/>
  <c r="AI41" i="1"/>
  <c r="AE42" i="1"/>
  <c r="AF42" i="1"/>
  <c r="AG42" i="1"/>
  <c r="AH42" i="1"/>
  <c r="AI42" i="1"/>
  <c r="AE43" i="1"/>
  <c r="AF43" i="1"/>
  <c r="AG43" i="1"/>
  <c r="AH43" i="1"/>
  <c r="AI43" i="1"/>
  <c r="AE44" i="1"/>
  <c r="AF44" i="1"/>
  <c r="AH44" i="1"/>
  <c r="AI44" i="1"/>
  <c r="AE45" i="1"/>
  <c r="AF45" i="1"/>
  <c r="AG45" i="1"/>
  <c r="AH45" i="1"/>
  <c r="AI45" i="1"/>
  <c r="AE46" i="1"/>
  <c r="AF46" i="1"/>
  <c r="AG46" i="1"/>
  <c r="AH46" i="1"/>
  <c r="AI46" i="1"/>
  <c r="AE47" i="1"/>
  <c r="AF47" i="1"/>
  <c r="AH47" i="1"/>
  <c r="AI47" i="1"/>
  <c r="AE48" i="1"/>
  <c r="AF48" i="1"/>
  <c r="AG48" i="1"/>
  <c r="AH48" i="1"/>
  <c r="AI48" i="1"/>
  <c r="AE49" i="1"/>
  <c r="AF49" i="1"/>
  <c r="AG49" i="1"/>
  <c r="AH49" i="1"/>
  <c r="AI49" i="1"/>
  <c r="AE50" i="1"/>
  <c r="AF50" i="1"/>
  <c r="AH50" i="1"/>
  <c r="AI50" i="1"/>
  <c r="AE51" i="1"/>
  <c r="AF51" i="1"/>
  <c r="AG51" i="1"/>
  <c r="AH51" i="1"/>
  <c r="AI51" i="1"/>
  <c r="AE52" i="1"/>
  <c r="AF52" i="1"/>
  <c r="AG52" i="1"/>
  <c r="AH52" i="1"/>
  <c r="AI52" i="1"/>
  <c r="AE53" i="1"/>
  <c r="AF53" i="1"/>
  <c r="AH53" i="1"/>
  <c r="AI53" i="1"/>
  <c r="AE54" i="1"/>
  <c r="AF54" i="1"/>
  <c r="AG54" i="1"/>
  <c r="AH54" i="1"/>
  <c r="AI54" i="1"/>
  <c r="AE55" i="1"/>
  <c r="AF55" i="1"/>
  <c r="AG55" i="1"/>
  <c r="AH55" i="1"/>
  <c r="AI55" i="1"/>
  <c r="AE56" i="1"/>
  <c r="AF56" i="1"/>
  <c r="AH56" i="1"/>
  <c r="AI56" i="1"/>
  <c r="AE57" i="1"/>
  <c r="AF57" i="1"/>
  <c r="AG57" i="1"/>
  <c r="AH57" i="1"/>
  <c r="AI57" i="1"/>
  <c r="AE58" i="1"/>
  <c r="AF58" i="1"/>
  <c r="AG58" i="1"/>
  <c r="AH58" i="1"/>
  <c r="AI58" i="1"/>
  <c r="AE59" i="1"/>
  <c r="AF59" i="1"/>
  <c r="AH59" i="1"/>
  <c r="AI59" i="1"/>
  <c r="AE60" i="1"/>
  <c r="AF60" i="1"/>
  <c r="AG60" i="1"/>
  <c r="AH60" i="1"/>
  <c r="AI60" i="1"/>
  <c r="AE61" i="1"/>
  <c r="AF61" i="1"/>
  <c r="AG61" i="1"/>
  <c r="AH61" i="1"/>
  <c r="AI61" i="1"/>
  <c r="AE62" i="1"/>
  <c r="AF62" i="1"/>
  <c r="AH62" i="1"/>
  <c r="AI62" i="1"/>
  <c r="AE63" i="1"/>
  <c r="AF63" i="1"/>
  <c r="AG63" i="1"/>
  <c r="AH63" i="1"/>
  <c r="AI63" i="1"/>
  <c r="AE64" i="1"/>
  <c r="AF64" i="1"/>
  <c r="AG64" i="1"/>
  <c r="AH64" i="1"/>
  <c r="AI64" i="1"/>
  <c r="AE65" i="1"/>
  <c r="AF65" i="1"/>
  <c r="AH65" i="1"/>
  <c r="AI65" i="1"/>
  <c r="AE66" i="1"/>
  <c r="AF66" i="1"/>
  <c r="AG66" i="1"/>
  <c r="AH66" i="1"/>
  <c r="AI66" i="1"/>
  <c r="AE67" i="1"/>
  <c r="AF67" i="1"/>
  <c r="AG67" i="1"/>
  <c r="AH67" i="1"/>
  <c r="AI67" i="1"/>
  <c r="AE68" i="1"/>
  <c r="AF68" i="1"/>
  <c r="AH68" i="1"/>
  <c r="AI68" i="1"/>
  <c r="AE69" i="1"/>
  <c r="AF69" i="1"/>
  <c r="AG69" i="1"/>
  <c r="AH69" i="1"/>
  <c r="AI69" i="1"/>
  <c r="AE70" i="1"/>
  <c r="AF70" i="1"/>
  <c r="AG70" i="1"/>
  <c r="AH70" i="1"/>
  <c r="AI70" i="1"/>
  <c r="AE71" i="1"/>
  <c r="AF71" i="1"/>
  <c r="AH71" i="1"/>
  <c r="AI71" i="1"/>
  <c r="AE72" i="1"/>
  <c r="AF72" i="1"/>
  <c r="AG72" i="1"/>
  <c r="AH72" i="1"/>
  <c r="AI72" i="1"/>
  <c r="AE73" i="1"/>
  <c r="AF73" i="1"/>
  <c r="AG73" i="1"/>
  <c r="AH73" i="1"/>
  <c r="AI73" i="1"/>
  <c r="AE74" i="1"/>
  <c r="AF74" i="1"/>
  <c r="AH74" i="1"/>
  <c r="AI74" i="1"/>
  <c r="AE75" i="1"/>
  <c r="AF75" i="1"/>
  <c r="AG75" i="1"/>
  <c r="AH75" i="1"/>
  <c r="AI75" i="1"/>
  <c r="AE76" i="1"/>
  <c r="AF76" i="1"/>
  <c r="AG76" i="1"/>
  <c r="AH76" i="1"/>
  <c r="AI76" i="1"/>
  <c r="AE77" i="1"/>
  <c r="AF77" i="1"/>
  <c r="AH77" i="1"/>
  <c r="AI77" i="1"/>
  <c r="AE78" i="1"/>
  <c r="AF78" i="1"/>
  <c r="AG78" i="1"/>
  <c r="AH78" i="1"/>
  <c r="AI78" i="1"/>
  <c r="AE79" i="1"/>
  <c r="AF79" i="1"/>
  <c r="AG79" i="1"/>
  <c r="AH79" i="1"/>
  <c r="AI79" i="1"/>
  <c r="AE80" i="1"/>
  <c r="AF80" i="1"/>
  <c r="AH80" i="1"/>
  <c r="AI80" i="1"/>
  <c r="AE81" i="1"/>
  <c r="AF81" i="1"/>
  <c r="AG81" i="1"/>
  <c r="AH81" i="1"/>
  <c r="AI81" i="1"/>
  <c r="AE82" i="1"/>
  <c r="AF82" i="1"/>
  <c r="AG82" i="1"/>
  <c r="AH82" i="1"/>
  <c r="AI82" i="1"/>
  <c r="AE83" i="1"/>
  <c r="AF83" i="1"/>
  <c r="AH83" i="1"/>
  <c r="AI83" i="1"/>
  <c r="AE84" i="1"/>
  <c r="AF84" i="1"/>
  <c r="AG84" i="1"/>
  <c r="AH84" i="1"/>
  <c r="AI84" i="1"/>
  <c r="AE85" i="1"/>
  <c r="AF85" i="1"/>
  <c r="AG85" i="1"/>
  <c r="AH85" i="1"/>
  <c r="AI85" i="1"/>
  <c r="AE86" i="1"/>
  <c r="AF86" i="1"/>
  <c r="AH86" i="1"/>
  <c r="AI86" i="1"/>
  <c r="AE87" i="1"/>
  <c r="AF87" i="1"/>
  <c r="AG87" i="1"/>
  <c r="AH87" i="1"/>
  <c r="AI87" i="1"/>
  <c r="AE88" i="1"/>
  <c r="AF88" i="1"/>
  <c r="AG88" i="1"/>
  <c r="AH88" i="1"/>
  <c r="AI88" i="1"/>
  <c r="AE89" i="1"/>
  <c r="AF89" i="1"/>
  <c r="AH89" i="1"/>
  <c r="AI89" i="1"/>
  <c r="AE90" i="1"/>
  <c r="AF90" i="1"/>
  <c r="AG90" i="1"/>
  <c r="AH90" i="1"/>
  <c r="AI90" i="1"/>
  <c r="AE91" i="1"/>
  <c r="AF91" i="1"/>
  <c r="AG91" i="1"/>
  <c r="AH91" i="1"/>
  <c r="AI91" i="1"/>
  <c r="AE92" i="1"/>
  <c r="AF92" i="1"/>
  <c r="AH92" i="1"/>
  <c r="AI92" i="1"/>
  <c r="AE93" i="1"/>
  <c r="AF93" i="1"/>
  <c r="AG93" i="1"/>
  <c r="AH93" i="1"/>
  <c r="AI93" i="1"/>
  <c r="AE94" i="1"/>
  <c r="AF94" i="1"/>
  <c r="AG94" i="1"/>
  <c r="AH94" i="1"/>
  <c r="AI94" i="1"/>
  <c r="AE95" i="1"/>
  <c r="AF95" i="1"/>
  <c r="AH95" i="1"/>
  <c r="AI95" i="1"/>
  <c r="AE96" i="1"/>
  <c r="AF96" i="1"/>
  <c r="AG96" i="1"/>
  <c r="AH96" i="1"/>
  <c r="AI96" i="1"/>
  <c r="AE97" i="1"/>
  <c r="AF97" i="1"/>
  <c r="AG97" i="1"/>
  <c r="AH97" i="1"/>
  <c r="AI97" i="1"/>
  <c r="AE98" i="1"/>
  <c r="AF98" i="1"/>
  <c r="AH98" i="1"/>
  <c r="AI98" i="1"/>
  <c r="AE99" i="1"/>
  <c r="AF99" i="1"/>
  <c r="AG99" i="1"/>
  <c r="AH99" i="1"/>
  <c r="AI99" i="1"/>
  <c r="AE100" i="1"/>
  <c r="AF100" i="1"/>
  <c r="AG100" i="1"/>
  <c r="AH100" i="1"/>
  <c r="AI100" i="1"/>
  <c r="AE101" i="1"/>
  <c r="AF101" i="1"/>
  <c r="AH101" i="1"/>
  <c r="AI101" i="1"/>
  <c r="AE102" i="1"/>
  <c r="AF102" i="1"/>
  <c r="AG102" i="1"/>
  <c r="AH102" i="1"/>
  <c r="AI102" i="1"/>
  <c r="AE103" i="1"/>
  <c r="AF103" i="1"/>
  <c r="AG103" i="1"/>
  <c r="AH103" i="1"/>
  <c r="AI103" i="1"/>
  <c r="AE104" i="1"/>
  <c r="AF104" i="1"/>
  <c r="AH104" i="1"/>
  <c r="AI104" i="1"/>
  <c r="AE105" i="1"/>
  <c r="AF105" i="1"/>
  <c r="AG105" i="1"/>
  <c r="AH105" i="1"/>
  <c r="AI105" i="1"/>
  <c r="AE106" i="1"/>
  <c r="AF106" i="1"/>
  <c r="AG106" i="1"/>
  <c r="AH106" i="1"/>
  <c r="AI106" i="1"/>
  <c r="AE107" i="1"/>
  <c r="AF107" i="1"/>
  <c r="AH107" i="1"/>
  <c r="AI107" i="1"/>
  <c r="AE108" i="1"/>
  <c r="AF108" i="1"/>
  <c r="AG108" i="1"/>
  <c r="AH108" i="1"/>
  <c r="AI108" i="1"/>
  <c r="AE109" i="1"/>
  <c r="AF109" i="1"/>
  <c r="AG109" i="1"/>
  <c r="AH109" i="1"/>
  <c r="AI109" i="1"/>
  <c r="AE110" i="1"/>
  <c r="AF110" i="1"/>
  <c r="AH110" i="1"/>
  <c r="AI110" i="1"/>
  <c r="AE111" i="1"/>
  <c r="AF111" i="1"/>
  <c r="AG111" i="1"/>
  <c r="AH111" i="1"/>
  <c r="AI111" i="1"/>
  <c r="AE112" i="1"/>
  <c r="AF112" i="1"/>
  <c r="AG112" i="1"/>
  <c r="AH112" i="1"/>
  <c r="AI112" i="1"/>
  <c r="AE113" i="1"/>
  <c r="AF113" i="1"/>
  <c r="AH113" i="1"/>
  <c r="AI113" i="1"/>
  <c r="AE114" i="1"/>
  <c r="AF114" i="1"/>
  <c r="AG114" i="1"/>
  <c r="AH114" i="1"/>
  <c r="AI114" i="1"/>
  <c r="AE115" i="1"/>
  <c r="AF115" i="1"/>
  <c r="AG115" i="1"/>
  <c r="AH115" i="1"/>
  <c r="AI115" i="1"/>
  <c r="AE116" i="1"/>
  <c r="AF116" i="1"/>
  <c r="AH116" i="1"/>
  <c r="AI116" i="1"/>
  <c r="AE117" i="1"/>
  <c r="AF117" i="1"/>
  <c r="AG117" i="1"/>
  <c r="AH117" i="1"/>
  <c r="AI117" i="1"/>
  <c r="AE118" i="1"/>
  <c r="AF118" i="1"/>
  <c r="AG118" i="1"/>
  <c r="AH118" i="1"/>
  <c r="AI118" i="1"/>
  <c r="AE119" i="1"/>
  <c r="AF119" i="1"/>
  <c r="AH119" i="1"/>
  <c r="AI119" i="1"/>
  <c r="AE120" i="1"/>
  <c r="AF120" i="1"/>
  <c r="AG120" i="1"/>
  <c r="AH120" i="1"/>
  <c r="AI120" i="1"/>
  <c r="AE121" i="1"/>
  <c r="AF121" i="1"/>
  <c r="AG121" i="1"/>
  <c r="AH121" i="1"/>
  <c r="AI121" i="1"/>
  <c r="AE122" i="1"/>
  <c r="AF122" i="1"/>
  <c r="AH122" i="1"/>
  <c r="AI122" i="1"/>
  <c r="AE123" i="1"/>
  <c r="AF123" i="1"/>
  <c r="AG123" i="1"/>
  <c r="AH123" i="1"/>
  <c r="AI123" i="1"/>
  <c r="AE124" i="1"/>
  <c r="AF124" i="1"/>
  <c r="AG124" i="1"/>
  <c r="AH124" i="1"/>
  <c r="AI124" i="1"/>
  <c r="AE125" i="1"/>
  <c r="AF125" i="1"/>
  <c r="AH125" i="1"/>
  <c r="AI125" i="1"/>
  <c r="AE126" i="1"/>
  <c r="AF126" i="1"/>
  <c r="AG126" i="1"/>
  <c r="AH126" i="1"/>
  <c r="AI126" i="1"/>
  <c r="AE127" i="1"/>
  <c r="AF127" i="1"/>
  <c r="AG127" i="1"/>
  <c r="AH127" i="1"/>
  <c r="AI127" i="1"/>
  <c r="AE128" i="1"/>
  <c r="AF128" i="1"/>
  <c r="AH128" i="1"/>
  <c r="AI128" i="1"/>
  <c r="AE129" i="1"/>
  <c r="AF129" i="1"/>
  <c r="AG129" i="1"/>
  <c r="AH129" i="1"/>
  <c r="AI129" i="1"/>
  <c r="AE130" i="1"/>
  <c r="AF130" i="1"/>
  <c r="AG130" i="1"/>
  <c r="AH130" i="1"/>
  <c r="AI130" i="1"/>
  <c r="AE131" i="1"/>
  <c r="AF131" i="1"/>
  <c r="AH131" i="1"/>
  <c r="AI131" i="1"/>
  <c r="AE132" i="1"/>
  <c r="AF132" i="1"/>
  <c r="AG132" i="1"/>
  <c r="AH132" i="1"/>
  <c r="AI132" i="1"/>
  <c r="AE133" i="1"/>
  <c r="AF133" i="1"/>
  <c r="AG133" i="1"/>
  <c r="AH133" i="1"/>
  <c r="AI133" i="1"/>
  <c r="AE134" i="1"/>
  <c r="AF134" i="1"/>
  <c r="AH134" i="1"/>
  <c r="AI134" i="1"/>
  <c r="AE135" i="1"/>
  <c r="AF135" i="1"/>
  <c r="AG135" i="1"/>
  <c r="AH135" i="1"/>
  <c r="AI135" i="1"/>
  <c r="AE136" i="1"/>
  <c r="AF136" i="1"/>
  <c r="AG136" i="1"/>
  <c r="AH136" i="1"/>
  <c r="AI136" i="1"/>
  <c r="AE137" i="1"/>
  <c r="AF137" i="1"/>
  <c r="AH137" i="1"/>
  <c r="AI137" i="1"/>
  <c r="AE138" i="1"/>
  <c r="AF138" i="1"/>
  <c r="AG138" i="1"/>
  <c r="AH138" i="1"/>
  <c r="AI138" i="1"/>
  <c r="AE139" i="1"/>
  <c r="AF139" i="1"/>
  <c r="AG139" i="1"/>
  <c r="AH139" i="1"/>
  <c r="AI139" i="1"/>
  <c r="AE140" i="1"/>
  <c r="AF140" i="1"/>
  <c r="AH140" i="1"/>
  <c r="AI140" i="1"/>
  <c r="AE141" i="1"/>
  <c r="AF141" i="1"/>
  <c r="AG141" i="1"/>
  <c r="AH141" i="1"/>
  <c r="AI141" i="1"/>
  <c r="AE142" i="1"/>
  <c r="AF142" i="1"/>
  <c r="AG142" i="1"/>
  <c r="AH142" i="1"/>
  <c r="AI142" i="1"/>
  <c r="AE143" i="1"/>
  <c r="AF143" i="1"/>
  <c r="AH143" i="1"/>
  <c r="AI143" i="1"/>
  <c r="AE144" i="1"/>
  <c r="AF144" i="1"/>
  <c r="AG144" i="1"/>
  <c r="AH144" i="1"/>
  <c r="AI144" i="1"/>
  <c r="AE145" i="1"/>
  <c r="AF145" i="1"/>
  <c r="AG145" i="1"/>
  <c r="AH145" i="1"/>
  <c r="AI145" i="1"/>
  <c r="AE146" i="1"/>
  <c r="AF146" i="1"/>
  <c r="AH146" i="1"/>
  <c r="AI146" i="1"/>
  <c r="AE147" i="1"/>
  <c r="AF147" i="1"/>
  <c r="AG147" i="1"/>
  <c r="AH147" i="1"/>
  <c r="AI147" i="1"/>
  <c r="AE148" i="1"/>
  <c r="AF148" i="1"/>
  <c r="AG148" i="1"/>
  <c r="AH148" i="1"/>
  <c r="AI148" i="1"/>
  <c r="AE149" i="1"/>
  <c r="AF149" i="1"/>
  <c r="AH149" i="1"/>
  <c r="AI149" i="1"/>
  <c r="AE150" i="1"/>
  <c r="AF150" i="1"/>
  <c r="AG150" i="1"/>
  <c r="AH150" i="1"/>
  <c r="AI150" i="1"/>
  <c r="AE151" i="1"/>
  <c r="AF151" i="1"/>
  <c r="AG151" i="1"/>
  <c r="AH151" i="1"/>
  <c r="AI151" i="1"/>
  <c r="AE152" i="1"/>
  <c r="AF152" i="1"/>
  <c r="AH152" i="1"/>
  <c r="AI152" i="1"/>
  <c r="AE153" i="1"/>
  <c r="AF153" i="1"/>
  <c r="AG153" i="1"/>
  <c r="AH153" i="1"/>
  <c r="AI153" i="1"/>
  <c r="AE154" i="1"/>
  <c r="AF154" i="1"/>
  <c r="AG154" i="1"/>
  <c r="AH154" i="1"/>
  <c r="AI154" i="1"/>
  <c r="AE155" i="1"/>
  <c r="AF155" i="1"/>
  <c r="AH155" i="1"/>
  <c r="AI155" i="1"/>
  <c r="AE156" i="1"/>
  <c r="AF156" i="1"/>
  <c r="AG156" i="1"/>
  <c r="AH156" i="1"/>
  <c r="AI156" i="1"/>
  <c r="AE157" i="1"/>
  <c r="AF157" i="1"/>
  <c r="AG157" i="1"/>
  <c r="AH157" i="1"/>
  <c r="AI157" i="1"/>
  <c r="AE158" i="1"/>
  <c r="AF158" i="1"/>
  <c r="AH158" i="1"/>
  <c r="AI158" i="1"/>
  <c r="AE159" i="1"/>
  <c r="AF159" i="1"/>
  <c r="AG159" i="1"/>
  <c r="AH159" i="1"/>
  <c r="AI159" i="1"/>
  <c r="AE160" i="1"/>
  <c r="AF160" i="1"/>
  <c r="AG160" i="1"/>
  <c r="AH160" i="1"/>
  <c r="AI160" i="1"/>
  <c r="AE161" i="1"/>
  <c r="AF161" i="1"/>
  <c r="AH161" i="1"/>
  <c r="AI161" i="1"/>
  <c r="AE162" i="1"/>
  <c r="AF162" i="1"/>
  <c r="AG162" i="1"/>
  <c r="AH162" i="1"/>
  <c r="AI162" i="1"/>
  <c r="AE163" i="1"/>
  <c r="AF163" i="1"/>
  <c r="AG163" i="1"/>
  <c r="AH163" i="1"/>
  <c r="AI163" i="1"/>
  <c r="AE164" i="1"/>
  <c r="AF164" i="1"/>
  <c r="AH164" i="1"/>
  <c r="AI164" i="1"/>
  <c r="AE165" i="1"/>
  <c r="AF165" i="1"/>
  <c r="AG165" i="1"/>
  <c r="AH165" i="1"/>
  <c r="AI165" i="1"/>
  <c r="AE166" i="1"/>
  <c r="AF166" i="1"/>
  <c r="AG166" i="1"/>
  <c r="AH166" i="1"/>
  <c r="AI166" i="1"/>
  <c r="AE167" i="1"/>
  <c r="AF167" i="1"/>
  <c r="AH167" i="1"/>
  <c r="AI167" i="1"/>
  <c r="AE168" i="1"/>
  <c r="AF168" i="1"/>
  <c r="AG168" i="1"/>
  <c r="AH168" i="1"/>
  <c r="AI168" i="1"/>
  <c r="AE169" i="1"/>
  <c r="AF169" i="1"/>
  <c r="AG169" i="1"/>
  <c r="AH169" i="1"/>
  <c r="AI169" i="1"/>
  <c r="AE170" i="1"/>
  <c r="AF170" i="1"/>
  <c r="AH170" i="1"/>
  <c r="AI170" i="1"/>
  <c r="AE171" i="1"/>
  <c r="AF171" i="1"/>
  <c r="AG171" i="1"/>
  <c r="AH171" i="1"/>
  <c r="AI171" i="1"/>
  <c r="AE172" i="1"/>
  <c r="AF172" i="1"/>
  <c r="AG172" i="1"/>
  <c r="AH172" i="1"/>
  <c r="AI172" i="1"/>
  <c r="AE173" i="1"/>
  <c r="AF173" i="1"/>
  <c r="AH173" i="1"/>
  <c r="AI173" i="1"/>
  <c r="AE174" i="1"/>
  <c r="AF174" i="1"/>
  <c r="AG174" i="1"/>
  <c r="AH174" i="1"/>
  <c r="AI174" i="1"/>
  <c r="AE175" i="1"/>
  <c r="AF175" i="1"/>
  <c r="AG175" i="1"/>
  <c r="AH175" i="1"/>
  <c r="AI175" i="1"/>
  <c r="AE176" i="1"/>
  <c r="AF176" i="1"/>
  <c r="AH176" i="1"/>
  <c r="AI176" i="1"/>
  <c r="AE177" i="1"/>
  <c r="AF177" i="1"/>
  <c r="AG177" i="1"/>
  <c r="AH177" i="1"/>
  <c r="AI177" i="1"/>
  <c r="AE178" i="1"/>
  <c r="AF178" i="1"/>
  <c r="AG178" i="1"/>
  <c r="AH178" i="1"/>
  <c r="AI178" i="1"/>
  <c r="AE179" i="1"/>
  <c r="AF179" i="1"/>
  <c r="AH179" i="1"/>
  <c r="AI179" i="1"/>
  <c r="AE180" i="1"/>
  <c r="AF180" i="1"/>
  <c r="AG180" i="1"/>
  <c r="AH180" i="1"/>
  <c r="AI180" i="1"/>
  <c r="AE181" i="1"/>
  <c r="AF181" i="1"/>
  <c r="AG181" i="1"/>
  <c r="AH181" i="1"/>
  <c r="AI181" i="1"/>
  <c r="AE182" i="1"/>
  <c r="AF182" i="1"/>
  <c r="AH182" i="1"/>
  <c r="AI182" i="1"/>
  <c r="AE183" i="1"/>
  <c r="AF183" i="1"/>
  <c r="AG183" i="1"/>
  <c r="AH183" i="1"/>
  <c r="AI183" i="1"/>
  <c r="AE184" i="1"/>
  <c r="AF184" i="1"/>
  <c r="AG184" i="1"/>
  <c r="AH184" i="1"/>
  <c r="AI184" i="1"/>
  <c r="AE185" i="1"/>
  <c r="AF185" i="1"/>
  <c r="AH185" i="1"/>
  <c r="AI185" i="1"/>
  <c r="AE186" i="1"/>
  <c r="AF186" i="1"/>
  <c r="AG186" i="1"/>
  <c r="AH186" i="1"/>
  <c r="AI186" i="1"/>
  <c r="AE187" i="1"/>
  <c r="AF187" i="1"/>
  <c r="AG187" i="1"/>
  <c r="AH187" i="1"/>
  <c r="AI187" i="1"/>
  <c r="AE188" i="1"/>
  <c r="AF188" i="1"/>
  <c r="AH188" i="1"/>
  <c r="AI188" i="1"/>
  <c r="AE189" i="1"/>
  <c r="AF189" i="1"/>
  <c r="AG189" i="1"/>
  <c r="AH189" i="1"/>
  <c r="AI189" i="1"/>
  <c r="AE190" i="1"/>
  <c r="AF190" i="1"/>
  <c r="AG190" i="1"/>
  <c r="AH190" i="1"/>
  <c r="AI190" i="1"/>
  <c r="AE191" i="1"/>
  <c r="AF191" i="1"/>
  <c r="AH191" i="1"/>
  <c r="AI191" i="1"/>
  <c r="AE192" i="1"/>
  <c r="AF192" i="1"/>
  <c r="AG192" i="1"/>
  <c r="AH192" i="1"/>
  <c r="AI192" i="1"/>
  <c r="AE193" i="1"/>
  <c r="AF193" i="1"/>
  <c r="AG193" i="1"/>
  <c r="AH193" i="1"/>
  <c r="AI193" i="1"/>
  <c r="AE194" i="1"/>
  <c r="AF194" i="1"/>
  <c r="AH194" i="1"/>
  <c r="AI194" i="1"/>
  <c r="AE195" i="1"/>
  <c r="AF195" i="1"/>
  <c r="AG195" i="1"/>
  <c r="AH195" i="1"/>
  <c r="AI195" i="1"/>
  <c r="AE196" i="1"/>
  <c r="AF196" i="1"/>
  <c r="AG196" i="1"/>
  <c r="AH196" i="1"/>
  <c r="AI196" i="1"/>
  <c r="AE197" i="1"/>
  <c r="AF197" i="1"/>
  <c r="AH197" i="1"/>
  <c r="AI197" i="1"/>
  <c r="AE198" i="1"/>
  <c r="AF198" i="1"/>
  <c r="AG198" i="1"/>
  <c r="AH198" i="1"/>
  <c r="AI198" i="1"/>
  <c r="AE199" i="1"/>
  <c r="AF199" i="1"/>
  <c r="AG199" i="1"/>
  <c r="AH199" i="1"/>
  <c r="AI199" i="1"/>
  <c r="AE200" i="1"/>
  <c r="AF200" i="1"/>
  <c r="AH200" i="1"/>
  <c r="AI200" i="1"/>
  <c r="AE201" i="1"/>
  <c r="AF201" i="1"/>
  <c r="AG201" i="1"/>
  <c r="AH201" i="1"/>
  <c r="AI201" i="1"/>
  <c r="AE202" i="1"/>
  <c r="AF202" i="1"/>
  <c r="AG202" i="1"/>
  <c r="AH202" i="1"/>
  <c r="AI202" i="1"/>
  <c r="AE203" i="1"/>
  <c r="AF203" i="1"/>
  <c r="AH203" i="1"/>
  <c r="AI203" i="1"/>
  <c r="AE204" i="1"/>
  <c r="AF204" i="1"/>
  <c r="AG204" i="1"/>
  <c r="AH204" i="1"/>
  <c r="AI204" i="1"/>
  <c r="AE205" i="1"/>
  <c r="AF205" i="1"/>
  <c r="AG205" i="1"/>
  <c r="AH205" i="1"/>
  <c r="AI205" i="1"/>
  <c r="AE206" i="1"/>
  <c r="AF206" i="1"/>
  <c r="AH206" i="1"/>
  <c r="AI206" i="1"/>
  <c r="AE207" i="1"/>
  <c r="AF207" i="1"/>
  <c r="AG207" i="1"/>
  <c r="AH207" i="1"/>
  <c r="AI207" i="1"/>
  <c r="AE208" i="1"/>
  <c r="AF208" i="1"/>
  <c r="AG208" i="1"/>
  <c r="AH208" i="1"/>
  <c r="AI208" i="1"/>
  <c r="AE209" i="1"/>
  <c r="AF209" i="1"/>
  <c r="AH209" i="1"/>
  <c r="AI209" i="1"/>
  <c r="AE210" i="1"/>
  <c r="AF210" i="1"/>
  <c r="AG210" i="1"/>
  <c r="AH210" i="1"/>
  <c r="AI210" i="1"/>
  <c r="AE211" i="1"/>
  <c r="AF211" i="1"/>
  <c r="AG211" i="1"/>
  <c r="AH211" i="1"/>
  <c r="AI211" i="1"/>
  <c r="AE212" i="1"/>
  <c r="AF212" i="1"/>
  <c r="AH212" i="1"/>
  <c r="AI212" i="1"/>
  <c r="AE213" i="1"/>
  <c r="AF213" i="1"/>
  <c r="AG213" i="1"/>
  <c r="AH213" i="1"/>
  <c r="AI213" i="1"/>
  <c r="AE214" i="1"/>
  <c r="AF214" i="1"/>
  <c r="AG214" i="1"/>
  <c r="AH214" i="1"/>
  <c r="AI214" i="1"/>
  <c r="AE215" i="1"/>
  <c r="AF215" i="1"/>
  <c r="AH215" i="1"/>
  <c r="AI215" i="1"/>
  <c r="AE216" i="1"/>
  <c r="AF216" i="1"/>
  <c r="AG216" i="1"/>
  <c r="AH216" i="1"/>
  <c r="AI216" i="1"/>
  <c r="AE217" i="1"/>
  <c r="AF217" i="1"/>
  <c r="AG217" i="1"/>
  <c r="AH217" i="1"/>
  <c r="AI217" i="1"/>
  <c r="AE218" i="1"/>
  <c r="AF218" i="1"/>
  <c r="AH218" i="1"/>
  <c r="AI218" i="1"/>
  <c r="AE219" i="1"/>
  <c r="AF219" i="1"/>
  <c r="AG219" i="1"/>
  <c r="AH219" i="1"/>
  <c r="AI219" i="1"/>
  <c r="AE220" i="1"/>
  <c r="AF220" i="1"/>
  <c r="AG220" i="1"/>
  <c r="AH220" i="1"/>
  <c r="AI220" i="1"/>
  <c r="AE221" i="1"/>
  <c r="AF221" i="1"/>
  <c r="AH221" i="1"/>
  <c r="AI221" i="1"/>
  <c r="AE222" i="1"/>
  <c r="AF222" i="1"/>
  <c r="AG222" i="1"/>
  <c r="AH222" i="1"/>
  <c r="AI222" i="1"/>
  <c r="AE223" i="1"/>
  <c r="AF223" i="1"/>
  <c r="AG223" i="1"/>
  <c r="AH223" i="1"/>
  <c r="AI223" i="1"/>
  <c r="AE224" i="1"/>
  <c r="AF224" i="1"/>
  <c r="AH224" i="1"/>
  <c r="AI224" i="1"/>
  <c r="AE225" i="1"/>
  <c r="AF225" i="1"/>
  <c r="AG225" i="1"/>
  <c r="AH225" i="1"/>
  <c r="AI225" i="1"/>
  <c r="AE226" i="1"/>
  <c r="AF226" i="1"/>
  <c r="AG226" i="1"/>
  <c r="AH226" i="1"/>
  <c r="AI226" i="1"/>
  <c r="AE227" i="1"/>
  <c r="AF227" i="1"/>
  <c r="AH227" i="1"/>
  <c r="AI227" i="1"/>
  <c r="AE228" i="1"/>
  <c r="AF228" i="1"/>
  <c r="AG228" i="1"/>
  <c r="AH228" i="1"/>
  <c r="AI228" i="1"/>
  <c r="AE229" i="1"/>
  <c r="AF229" i="1"/>
  <c r="AG229" i="1"/>
  <c r="AH229" i="1"/>
  <c r="AI229" i="1"/>
  <c r="AE230" i="1"/>
  <c r="AF230" i="1"/>
  <c r="AH230" i="1"/>
  <c r="AI230" i="1"/>
  <c r="AE231" i="1"/>
  <c r="AF231" i="1"/>
  <c r="AG231" i="1"/>
  <c r="AH231" i="1"/>
  <c r="AI231" i="1"/>
  <c r="AE232" i="1"/>
  <c r="AF232" i="1"/>
  <c r="AG232" i="1"/>
  <c r="AH232" i="1"/>
  <c r="AI232" i="1"/>
  <c r="AE233" i="1"/>
  <c r="AF233" i="1"/>
  <c r="AH233" i="1"/>
  <c r="AI233" i="1"/>
  <c r="AE234" i="1"/>
  <c r="AF234" i="1"/>
  <c r="AG234" i="1"/>
  <c r="AH234" i="1"/>
  <c r="AI234" i="1"/>
  <c r="AE235" i="1"/>
  <c r="AF235" i="1"/>
  <c r="AG235" i="1"/>
  <c r="AH235" i="1"/>
  <c r="AI235" i="1"/>
  <c r="AE236" i="1"/>
  <c r="AF236" i="1"/>
  <c r="AH236" i="1"/>
  <c r="AI236" i="1"/>
  <c r="AE237" i="1"/>
  <c r="AF237" i="1"/>
  <c r="AG237" i="1"/>
  <c r="AH237" i="1"/>
  <c r="AI237" i="1"/>
  <c r="AE238" i="1"/>
  <c r="AF238" i="1"/>
  <c r="AG238" i="1"/>
  <c r="AH238" i="1"/>
  <c r="AI238" i="1"/>
  <c r="AE239" i="1"/>
  <c r="AF239" i="1"/>
  <c r="AH239" i="1"/>
  <c r="AI239" i="1"/>
  <c r="AE240" i="1"/>
  <c r="AF240" i="1"/>
  <c r="AG240" i="1"/>
  <c r="AH240" i="1"/>
  <c r="AI240" i="1"/>
  <c r="AE241" i="1"/>
  <c r="AF241" i="1"/>
  <c r="AG241" i="1"/>
  <c r="AH241" i="1"/>
  <c r="AI241" i="1"/>
  <c r="AE242" i="1"/>
  <c r="AF242" i="1"/>
  <c r="AH242" i="1"/>
  <c r="AI242" i="1"/>
  <c r="AE243" i="1"/>
  <c r="AF243" i="1"/>
  <c r="AG243" i="1"/>
  <c r="AH243" i="1"/>
  <c r="AI243" i="1"/>
  <c r="AE244" i="1"/>
  <c r="AF244" i="1"/>
  <c r="AG244" i="1"/>
  <c r="AH244" i="1"/>
  <c r="AI244" i="1"/>
  <c r="AE245" i="1"/>
  <c r="AF245" i="1"/>
  <c r="AH245" i="1"/>
  <c r="AI245" i="1"/>
  <c r="AE246" i="1"/>
  <c r="AF246" i="1"/>
  <c r="AG246" i="1"/>
  <c r="AH246" i="1"/>
  <c r="AI246" i="1"/>
  <c r="AE247" i="1"/>
  <c r="AF247" i="1"/>
  <c r="AG247" i="1"/>
  <c r="AH247" i="1"/>
  <c r="AI247" i="1"/>
  <c r="AE248" i="1"/>
  <c r="AF248" i="1"/>
  <c r="AH248" i="1"/>
  <c r="AI248" i="1"/>
  <c r="AE249" i="1"/>
  <c r="AF249" i="1"/>
  <c r="AG249" i="1"/>
  <c r="AH249" i="1"/>
  <c r="AI249" i="1"/>
  <c r="AE250" i="1"/>
  <c r="AF250" i="1"/>
  <c r="AG250" i="1"/>
  <c r="AH250" i="1"/>
  <c r="AI250" i="1"/>
  <c r="AE251" i="1"/>
  <c r="AF251" i="1"/>
  <c r="AH251" i="1"/>
  <c r="AI251" i="1"/>
  <c r="AE252" i="1"/>
  <c r="AF252" i="1"/>
  <c r="AG252" i="1"/>
  <c r="AH252" i="1"/>
  <c r="AI252" i="1"/>
  <c r="AE253" i="1"/>
  <c r="AF253" i="1"/>
  <c r="AG253" i="1"/>
  <c r="AH253" i="1"/>
  <c r="AI253" i="1"/>
  <c r="AE254" i="1"/>
  <c r="AF254" i="1"/>
  <c r="AH254" i="1"/>
  <c r="AI254" i="1"/>
  <c r="AE255" i="1"/>
  <c r="AF255" i="1"/>
  <c r="AG255" i="1"/>
  <c r="AH255" i="1"/>
  <c r="AI255" i="1"/>
  <c r="AE256" i="1"/>
  <c r="AF256" i="1"/>
  <c r="AG256" i="1"/>
  <c r="AH256" i="1"/>
  <c r="AI256" i="1"/>
  <c r="AE257" i="1"/>
  <c r="AF257" i="1"/>
  <c r="AH257" i="1"/>
  <c r="AI257" i="1"/>
  <c r="AE258" i="1"/>
  <c r="AF258" i="1"/>
  <c r="AG258" i="1"/>
  <c r="AH258" i="1"/>
  <c r="AI258" i="1"/>
  <c r="AE259" i="1"/>
  <c r="AF259" i="1"/>
  <c r="AG259" i="1"/>
  <c r="AH259" i="1"/>
  <c r="AI259" i="1"/>
  <c r="AH260" i="1"/>
  <c r="AH261" i="1"/>
  <c r="AH262" i="1"/>
  <c r="AE266" i="1"/>
  <c r="AF266" i="1"/>
  <c r="AH266" i="1"/>
  <c r="AI266" i="1"/>
  <c r="AE267" i="1"/>
  <c r="AF267" i="1"/>
  <c r="AG267" i="1"/>
  <c r="AH267" i="1"/>
  <c r="AI267" i="1"/>
  <c r="AE268" i="1"/>
  <c r="AF268" i="1"/>
  <c r="AG268" i="1"/>
  <c r="AH268" i="1"/>
  <c r="AI268" i="1"/>
  <c r="AE269" i="1"/>
  <c r="AF269" i="1"/>
  <c r="AH269" i="1"/>
  <c r="AI269" i="1"/>
  <c r="AE270" i="1"/>
  <c r="AF270" i="1"/>
  <c r="AG270" i="1"/>
  <c r="AH270" i="1"/>
  <c r="AI270" i="1"/>
  <c r="AE271" i="1"/>
  <c r="AF271" i="1"/>
  <c r="AG271" i="1"/>
  <c r="AH271" i="1"/>
  <c r="AI271" i="1"/>
  <c r="AE272" i="1"/>
  <c r="AF272" i="1"/>
  <c r="AH272" i="1"/>
  <c r="AI272" i="1"/>
  <c r="AE273" i="1"/>
  <c r="AF273" i="1"/>
  <c r="AG273" i="1"/>
  <c r="AH273" i="1"/>
  <c r="AI273" i="1"/>
  <c r="AE274" i="1"/>
  <c r="AF274" i="1"/>
  <c r="AG274" i="1"/>
  <c r="AH274" i="1"/>
  <c r="AI274" i="1"/>
  <c r="AE275" i="1"/>
  <c r="AF275" i="1"/>
  <c r="AH275" i="1"/>
  <c r="AI275" i="1"/>
  <c r="AE276" i="1"/>
  <c r="AF276" i="1"/>
  <c r="AG276" i="1"/>
  <c r="AH276" i="1"/>
  <c r="AI276" i="1"/>
  <c r="AE277" i="1"/>
  <c r="AF277" i="1"/>
  <c r="AG277" i="1"/>
  <c r="AH277" i="1"/>
  <c r="AI277" i="1"/>
  <c r="AE278" i="1"/>
  <c r="AF278" i="1"/>
  <c r="AH278" i="1"/>
  <c r="AI278" i="1"/>
  <c r="AE279" i="1"/>
  <c r="AF279" i="1"/>
  <c r="AG279" i="1"/>
  <c r="AH279" i="1"/>
  <c r="AI279" i="1"/>
  <c r="AE280" i="1"/>
  <c r="AF280" i="1"/>
  <c r="AG280" i="1"/>
  <c r="AH280" i="1"/>
  <c r="AI280" i="1"/>
  <c r="AE281" i="1"/>
  <c r="AF281" i="1"/>
  <c r="AH281" i="1"/>
  <c r="AI281" i="1"/>
  <c r="AE282" i="1"/>
  <c r="AF282" i="1"/>
  <c r="AG282" i="1"/>
  <c r="AH282" i="1"/>
  <c r="AI282" i="1"/>
  <c r="AE283" i="1"/>
  <c r="AF283" i="1"/>
  <c r="AG283" i="1"/>
  <c r="AH283" i="1"/>
  <c r="AI283" i="1"/>
  <c r="AE284" i="1"/>
  <c r="AF284" i="1"/>
  <c r="AH284" i="1"/>
  <c r="AI284" i="1"/>
  <c r="AE285" i="1"/>
  <c r="AF285" i="1"/>
  <c r="AG285" i="1"/>
  <c r="AH285" i="1"/>
  <c r="AI285" i="1"/>
  <c r="AE286" i="1"/>
  <c r="AF286" i="1"/>
  <c r="AG286" i="1"/>
  <c r="AH286" i="1"/>
  <c r="AI286" i="1"/>
  <c r="AE287" i="1"/>
  <c r="AF287" i="1"/>
  <c r="AH287" i="1"/>
  <c r="AI287" i="1"/>
  <c r="AE288" i="1"/>
  <c r="AF288" i="1"/>
  <c r="AG288" i="1"/>
  <c r="AH288" i="1"/>
  <c r="AI288" i="1"/>
  <c r="AE289" i="1"/>
  <c r="AF289" i="1"/>
  <c r="AG289" i="1"/>
  <c r="AH289" i="1"/>
  <c r="AI289" i="1"/>
  <c r="AE290" i="1"/>
  <c r="AF290" i="1"/>
  <c r="AH290" i="1"/>
  <c r="AI290" i="1"/>
  <c r="AE291" i="1"/>
  <c r="AF291" i="1"/>
  <c r="AG291" i="1"/>
  <c r="AH291" i="1"/>
  <c r="AI291" i="1"/>
  <c r="AE292" i="1"/>
  <c r="AF292" i="1"/>
  <c r="AG292" i="1"/>
  <c r="AH292" i="1"/>
  <c r="AI292" i="1"/>
  <c r="AE293" i="1"/>
  <c r="AF293" i="1"/>
  <c r="AH293" i="1"/>
  <c r="AI293" i="1"/>
  <c r="AE294" i="1"/>
  <c r="AF294" i="1"/>
  <c r="AG294" i="1"/>
  <c r="AH294" i="1"/>
  <c r="AI294" i="1"/>
  <c r="AE295" i="1"/>
  <c r="AF295" i="1"/>
  <c r="AG295" i="1"/>
  <c r="AH295" i="1"/>
  <c r="AI295" i="1"/>
  <c r="AE296" i="1"/>
  <c r="AF296" i="1"/>
  <c r="AH296" i="1"/>
  <c r="AI296" i="1"/>
  <c r="AE297" i="1"/>
  <c r="AF297" i="1"/>
  <c r="AG297" i="1"/>
  <c r="AH297" i="1"/>
  <c r="AI297" i="1"/>
  <c r="AE298" i="1"/>
  <c r="AF298" i="1"/>
  <c r="AG298" i="1"/>
  <c r="AH298" i="1"/>
  <c r="AI298" i="1"/>
  <c r="AE299" i="1"/>
  <c r="AF299" i="1"/>
  <c r="AH299" i="1"/>
  <c r="AI299" i="1"/>
  <c r="AE300" i="1"/>
  <c r="AF300" i="1"/>
  <c r="AG300" i="1"/>
  <c r="AH300" i="1"/>
  <c r="AI300" i="1"/>
  <c r="AE301" i="1"/>
  <c r="AF301" i="1"/>
  <c r="AG301" i="1"/>
  <c r="AH301" i="1"/>
  <c r="AI301" i="1"/>
  <c r="AE302" i="1"/>
  <c r="AF302" i="1"/>
  <c r="AH302" i="1"/>
  <c r="AI302" i="1"/>
  <c r="AE303" i="1"/>
  <c r="AF303" i="1"/>
  <c r="AG303" i="1"/>
  <c r="AH303" i="1"/>
  <c r="AI303" i="1"/>
  <c r="AE304" i="1"/>
  <c r="AF304" i="1"/>
  <c r="AG304" i="1"/>
  <c r="AH304" i="1"/>
  <c r="AI304" i="1"/>
  <c r="AE305" i="1"/>
  <c r="AF305" i="1"/>
  <c r="AH305" i="1"/>
  <c r="AI305" i="1"/>
  <c r="AE306" i="1"/>
  <c r="AF306" i="1"/>
  <c r="AG306" i="1"/>
  <c r="AH306" i="1"/>
  <c r="AI306" i="1"/>
  <c r="AE307" i="1"/>
  <c r="AF307" i="1"/>
  <c r="AG307" i="1"/>
  <c r="AH307" i="1"/>
  <c r="AI307" i="1"/>
  <c r="AE308" i="1"/>
  <c r="AF308" i="1"/>
  <c r="AH308" i="1"/>
  <c r="AI308" i="1"/>
  <c r="AE309" i="1"/>
  <c r="AF309" i="1"/>
  <c r="AG309" i="1"/>
  <c r="AH309" i="1"/>
  <c r="AI309" i="1"/>
  <c r="AE310" i="1"/>
  <c r="AF310" i="1"/>
  <c r="AG310" i="1"/>
  <c r="AH310" i="1"/>
  <c r="AI310" i="1"/>
  <c r="AE311" i="1"/>
  <c r="AF311" i="1"/>
  <c r="AH311" i="1"/>
  <c r="AI311" i="1"/>
  <c r="AE312" i="1"/>
  <c r="AF312" i="1"/>
  <c r="AG312" i="1"/>
  <c r="AH312" i="1"/>
  <c r="AI312" i="1"/>
  <c r="AE313" i="1"/>
  <c r="AF313" i="1"/>
  <c r="AG313" i="1"/>
  <c r="AH313" i="1"/>
  <c r="AI313" i="1"/>
  <c r="AE314" i="1"/>
  <c r="AF314" i="1"/>
  <c r="AH314" i="1"/>
  <c r="AI314" i="1"/>
  <c r="AE315" i="1"/>
  <c r="AF315" i="1"/>
  <c r="AG315" i="1"/>
  <c r="AH315" i="1"/>
  <c r="AI315" i="1"/>
  <c r="AE316" i="1"/>
  <c r="AF316" i="1"/>
  <c r="AG316" i="1"/>
  <c r="AH316" i="1"/>
  <c r="AI316" i="1"/>
  <c r="AE317" i="1"/>
  <c r="AF317" i="1"/>
  <c r="AH317" i="1"/>
  <c r="AI317" i="1"/>
  <c r="AE318" i="1"/>
  <c r="AF318" i="1"/>
  <c r="AG318" i="1"/>
  <c r="AH318" i="1"/>
  <c r="AI318" i="1"/>
  <c r="AE319" i="1"/>
  <c r="AF319" i="1"/>
  <c r="AG319" i="1"/>
  <c r="AH319" i="1"/>
  <c r="AI319" i="1"/>
  <c r="AE320" i="1"/>
  <c r="AF320" i="1"/>
  <c r="AH320" i="1"/>
  <c r="AI320" i="1"/>
  <c r="AE321" i="1"/>
  <c r="AF321" i="1"/>
  <c r="AG321" i="1"/>
  <c r="AH321" i="1"/>
  <c r="AI321" i="1"/>
  <c r="AE322" i="1"/>
  <c r="AF322" i="1"/>
  <c r="AG322" i="1"/>
  <c r="AH322" i="1"/>
  <c r="AI322" i="1"/>
  <c r="AE323" i="1"/>
  <c r="AF323" i="1"/>
  <c r="AH323" i="1"/>
  <c r="AI323" i="1"/>
  <c r="AE324" i="1"/>
  <c r="AF324" i="1"/>
  <c r="AG324" i="1"/>
  <c r="AH324" i="1"/>
  <c r="AI324" i="1"/>
  <c r="AE325" i="1"/>
  <c r="AF325" i="1"/>
  <c r="AG325" i="1"/>
  <c r="AH325" i="1"/>
  <c r="AI325" i="1"/>
  <c r="AE326" i="1"/>
  <c r="AF326" i="1"/>
  <c r="AH326" i="1"/>
  <c r="AI326" i="1"/>
  <c r="AE327" i="1"/>
  <c r="AF327" i="1"/>
  <c r="AG327" i="1"/>
  <c r="AH327" i="1"/>
  <c r="AI327" i="1"/>
  <c r="AE328" i="1"/>
  <c r="AF328" i="1"/>
  <c r="AG328" i="1"/>
  <c r="AH328" i="1"/>
  <c r="AI328" i="1"/>
  <c r="AE329" i="1"/>
  <c r="AF329" i="1"/>
  <c r="AH329" i="1"/>
  <c r="AI329" i="1"/>
  <c r="AE330" i="1"/>
  <c r="AF330" i="1"/>
  <c r="AG330" i="1"/>
  <c r="AH330" i="1"/>
  <c r="AI330" i="1"/>
  <c r="AE331" i="1"/>
  <c r="AF331" i="1"/>
  <c r="AG331" i="1"/>
  <c r="AH331" i="1"/>
  <c r="AI331" i="1"/>
  <c r="AE332" i="1"/>
  <c r="AF332" i="1"/>
  <c r="AH332" i="1"/>
  <c r="AI332" i="1"/>
  <c r="AE333" i="1"/>
  <c r="AF333" i="1"/>
  <c r="AG333" i="1"/>
  <c r="AH333" i="1"/>
  <c r="AI333" i="1"/>
  <c r="AE334" i="1"/>
  <c r="AF334" i="1"/>
  <c r="AG334" i="1"/>
  <c r="AH334" i="1"/>
  <c r="AI334" i="1"/>
  <c r="AE335" i="1"/>
  <c r="AF335" i="1"/>
  <c r="AH335" i="1"/>
  <c r="AI335" i="1"/>
  <c r="AE336" i="1"/>
  <c r="AF336" i="1"/>
  <c r="AG336" i="1"/>
  <c r="AH336" i="1"/>
  <c r="AI336" i="1"/>
  <c r="AE337" i="1"/>
  <c r="AF337" i="1"/>
  <c r="AG337" i="1"/>
  <c r="AH337" i="1"/>
  <c r="AI337" i="1"/>
  <c r="AE338" i="1"/>
  <c r="AF338" i="1"/>
  <c r="AH338" i="1"/>
  <c r="AI338" i="1"/>
  <c r="AE339" i="1"/>
  <c r="AF339" i="1"/>
  <c r="AG339" i="1"/>
  <c r="AH339" i="1"/>
  <c r="AI339" i="1"/>
  <c r="AE340" i="1"/>
  <c r="AF340" i="1"/>
  <c r="AG340" i="1"/>
  <c r="AH340" i="1"/>
  <c r="AI340" i="1"/>
  <c r="AE341" i="1"/>
  <c r="AF341" i="1"/>
  <c r="AH341" i="1"/>
  <c r="AI341" i="1"/>
  <c r="AE342" i="1"/>
  <c r="AF342" i="1"/>
  <c r="AG342" i="1"/>
  <c r="AH342" i="1"/>
  <c r="AI342" i="1"/>
  <c r="AE343" i="1"/>
  <c r="AF343" i="1"/>
  <c r="AG343" i="1"/>
  <c r="AH343" i="1"/>
  <c r="AI343" i="1"/>
  <c r="AE344" i="1"/>
  <c r="AF344" i="1"/>
  <c r="AH344" i="1"/>
  <c r="AI344" i="1"/>
  <c r="AE345" i="1"/>
  <c r="AF345" i="1"/>
  <c r="AG345" i="1"/>
  <c r="AH345" i="1"/>
  <c r="AI345" i="1"/>
  <c r="AE346" i="1"/>
  <c r="AF346" i="1"/>
  <c r="AG346" i="1"/>
  <c r="AH346" i="1"/>
  <c r="AI346" i="1"/>
  <c r="AE347" i="1"/>
  <c r="AF347" i="1"/>
  <c r="AH347" i="1"/>
  <c r="AI347" i="1"/>
  <c r="AE348" i="1"/>
  <c r="AF348" i="1"/>
  <c r="AG348" i="1"/>
  <c r="AH348" i="1"/>
  <c r="AI348" i="1"/>
  <c r="AE349" i="1"/>
  <c r="AF349" i="1"/>
  <c r="AG349" i="1"/>
  <c r="AH349" i="1"/>
  <c r="AI349" i="1"/>
  <c r="AE350" i="1"/>
  <c r="AF350" i="1"/>
  <c r="AH350" i="1"/>
  <c r="AI350" i="1"/>
  <c r="AE351" i="1"/>
  <c r="AF351" i="1"/>
  <c r="AG351" i="1"/>
  <c r="AH351" i="1"/>
  <c r="AI351" i="1"/>
  <c r="AE352" i="1"/>
  <c r="AF352" i="1"/>
  <c r="AG352" i="1"/>
  <c r="AH352" i="1"/>
  <c r="AI352" i="1"/>
  <c r="AE353" i="1"/>
  <c r="AF353" i="1"/>
  <c r="AH353" i="1"/>
  <c r="AI353" i="1"/>
  <c r="AE354" i="1"/>
  <c r="AF354" i="1"/>
  <c r="AG354" i="1"/>
  <c r="AH354" i="1"/>
  <c r="AI354" i="1"/>
  <c r="AE355" i="1"/>
  <c r="AF355" i="1"/>
  <c r="AG355" i="1"/>
  <c r="AH355" i="1"/>
  <c r="AI355" i="1"/>
  <c r="AE356" i="1"/>
  <c r="AF356" i="1"/>
  <c r="AH356" i="1"/>
  <c r="AI356" i="1"/>
  <c r="AE357" i="1"/>
  <c r="AF357" i="1"/>
  <c r="AG357" i="1"/>
  <c r="AH357" i="1"/>
  <c r="AI357" i="1"/>
  <c r="AE358" i="1"/>
  <c r="AF358" i="1"/>
  <c r="AG358" i="1"/>
  <c r="AH358" i="1"/>
  <c r="AI358" i="1"/>
  <c r="AE359" i="1"/>
  <c r="AF359" i="1"/>
  <c r="AH359" i="1"/>
  <c r="AI359" i="1"/>
  <c r="AE360" i="1"/>
  <c r="AF360" i="1"/>
  <c r="AG360" i="1"/>
  <c r="AH360" i="1"/>
  <c r="AI360" i="1"/>
  <c r="AE361" i="1"/>
  <c r="AF361" i="1"/>
  <c r="AG361" i="1"/>
  <c r="AH361" i="1"/>
  <c r="AI361" i="1"/>
  <c r="AE362" i="1"/>
  <c r="AF362" i="1"/>
  <c r="AH362" i="1"/>
  <c r="AI362" i="1"/>
  <c r="AE363" i="1"/>
  <c r="AF363" i="1"/>
  <c r="AG363" i="1"/>
  <c r="AH363" i="1"/>
  <c r="AI363" i="1"/>
  <c r="AE364" i="1"/>
  <c r="AF364" i="1"/>
  <c r="AG364" i="1"/>
  <c r="AH364" i="1"/>
  <c r="AI364" i="1"/>
  <c r="AE365" i="1"/>
  <c r="AF365" i="1"/>
  <c r="AH365" i="1"/>
  <c r="AI365" i="1"/>
  <c r="AE366" i="1"/>
  <c r="AF366" i="1"/>
  <c r="AG366" i="1"/>
  <c r="AH366" i="1"/>
  <c r="AI366" i="1"/>
  <c r="AE367" i="1"/>
  <c r="AF367" i="1"/>
  <c r="AG367" i="1"/>
  <c r="AH367" i="1"/>
  <c r="AI367" i="1"/>
  <c r="AE368" i="1"/>
  <c r="AF368" i="1"/>
  <c r="AH368" i="1"/>
  <c r="AI368" i="1"/>
  <c r="AE369" i="1"/>
  <c r="AF369" i="1"/>
  <c r="AG369" i="1"/>
  <c r="AH369" i="1"/>
  <c r="AI369" i="1"/>
  <c r="AE370" i="1"/>
  <c r="AF370" i="1"/>
  <c r="AG370" i="1"/>
  <c r="AH370" i="1"/>
  <c r="AI370" i="1"/>
  <c r="AE371" i="1"/>
  <c r="AF371" i="1"/>
  <c r="AH371" i="1"/>
  <c r="AI371" i="1"/>
  <c r="AE372" i="1"/>
  <c r="AF372" i="1"/>
  <c r="AG372" i="1"/>
  <c r="AH372" i="1"/>
  <c r="AI372" i="1"/>
  <c r="AE373" i="1"/>
  <c r="AF373" i="1"/>
  <c r="AG373" i="1"/>
  <c r="AH373" i="1"/>
  <c r="AI373" i="1"/>
  <c r="U371" i="1"/>
  <c r="AG371" i="1" s="1"/>
  <c r="U368" i="1"/>
  <c r="AG368" i="1" s="1"/>
  <c r="U365" i="1"/>
  <c r="AG365" i="1" s="1"/>
  <c r="U362" i="1"/>
  <c r="AG362" i="1" s="1"/>
  <c r="U359" i="1"/>
  <c r="AG359" i="1" s="1"/>
  <c r="U356" i="1"/>
  <c r="AG356" i="1" s="1"/>
  <c r="U353" i="1"/>
  <c r="AG353" i="1" s="1"/>
  <c r="U350" i="1"/>
  <c r="AL350" i="1" s="1"/>
  <c r="U347" i="1"/>
  <c r="AL347" i="1" s="1"/>
  <c r="U344" i="1"/>
  <c r="AG344" i="1" s="1"/>
  <c r="U341" i="1"/>
  <c r="AG341" i="1" s="1"/>
  <c r="U338" i="1"/>
  <c r="AL338" i="1" s="1"/>
  <c r="U335" i="1"/>
  <c r="AG335" i="1" s="1"/>
  <c r="U332" i="1"/>
  <c r="AG332" i="1" s="1"/>
  <c r="U329" i="1"/>
  <c r="AG329" i="1" s="1"/>
  <c r="U326" i="1"/>
  <c r="AG326" i="1" s="1"/>
  <c r="U323" i="1"/>
  <c r="AG323" i="1" s="1"/>
  <c r="U320" i="1"/>
  <c r="AG320" i="1" s="1"/>
  <c r="U317" i="1"/>
  <c r="AG317" i="1" s="1"/>
  <c r="U314" i="1"/>
  <c r="AL314" i="1" s="1"/>
  <c r="U311" i="1"/>
  <c r="AG311" i="1" s="1"/>
  <c r="U308" i="1"/>
  <c r="AG308" i="1" s="1"/>
  <c r="U305" i="1"/>
  <c r="AL305" i="1" s="1"/>
  <c r="U302" i="1"/>
  <c r="AG302" i="1" s="1"/>
  <c r="U299" i="1"/>
  <c r="AG299" i="1" s="1"/>
  <c r="U296" i="1"/>
  <c r="AG296" i="1" s="1"/>
  <c r="U293" i="1"/>
  <c r="AG293" i="1" s="1"/>
  <c r="U290" i="1"/>
  <c r="AG290" i="1" s="1"/>
  <c r="U287" i="1"/>
  <c r="AG287" i="1" s="1"/>
  <c r="U284" i="1"/>
  <c r="AG284" i="1" s="1"/>
  <c r="U281" i="1"/>
  <c r="AG281" i="1" s="1"/>
  <c r="U278" i="1"/>
  <c r="AL278" i="1" s="1"/>
  <c r="U275" i="1"/>
  <c r="AL275" i="1" s="1"/>
  <c r="U272" i="1"/>
  <c r="AG272" i="1" s="1"/>
  <c r="U269" i="1"/>
  <c r="AL269" i="1" s="1"/>
  <c r="U266" i="1"/>
  <c r="AL266" i="1" s="1"/>
  <c r="U260" i="1"/>
  <c r="U257" i="1"/>
  <c r="AG257" i="1" s="1"/>
  <c r="U254" i="1"/>
  <c r="AG254" i="1" s="1"/>
  <c r="U251" i="1"/>
  <c r="AG251" i="1" s="1"/>
  <c r="U248" i="1"/>
  <c r="AG248" i="1" s="1"/>
  <c r="U245" i="1"/>
  <c r="AG245" i="1" s="1"/>
  <c r="U242" i="1"/>
  <c r="AG242" i="1" s="1"/>
  <c r="U239" i="1"/>
  <c r="AG239" i="1" s="1"/>
  <c r="U236" i="1"/>
  <c r="AG236" i="1" s="1"/>
  <c r="U233" i="1"/>
  <c r="AG233" i="1" s="1"/>
  <c r="U230" i="1"/>
  <c r="AL230" i="1" s="1"/>
  <c r="U227" i="1"/>
  <c r="AG227" i="1" s="1"/>
  <c r="U224" i="1"/>
  <c r="AG224" i="1" s="1"/>
  <c r="U221" i="1"/>
  <c r="AG221" i="1" s="1"/>
  <c r="U218" i="1"/>
  <c r="AG218" i="1" s="1"/>
  <c r="U215" i="1"/>
  <c r="AG215" i="1" s="1"/>
  <c r="U212" i="1"/>
  <c r="AG212" i="1" s="1"/>
  <c r="U209" i="1"/>
  <c r="AG209" i="1" s="1"/>
  <c r="U206" i="1"/>
  <c r="AG206" i="1" s="1"/>
  <c r="U203" i="1"/>
  <c r="AG203" i="1" s="1"/>
  <c r="U200" i="1"/>
  <c r="AG200" i="1" s="1"/>
  <c r="U197" i="1"/>
  <c r="AG197" i="1" s="1"/>
  <c r="U194" i="1"/>
  <c r="AG194" i="1" s="1"/>
  <c r="U191" i="1"/>
  <c r="AG191" i="1" s="1"/>
  <c r="U188" i="1"/>
  <c r="AG188" i="1" s="1"/>
  <c r="U185" i="1"/>
  <c r="AG185" i="1" s="1"/>
  <c r="U182" i="1"/>
  <c r="AG182" i="1" s="1"/>
  <c r="U179" i="1"/>
  <c r="AG179" i="1" s="1"/>
  <c r="U176" i="1"/>
  <c r="AG176" i="1" s="1"/>
  <c r="U173" i="1"/>
  <c r="AG173" i="1" s="1"/>
  <c r="U170" i="1"/>
  <c r="AG170" i="1" s="1"/>
  <c r="U167" i="1"/>
  <c r="AG167" i="1" s="1"/>
  <c r="U164" i="1"/>
  <c r="AG164" i="1" s="1"/>
  <c r="U161" i="1"/>
  <c r="AG161" i="1" s="1"/>
  <c r="U158" i="1"/>
  <c r="AG158" i="1" s="1"/>
  <c r="U155" i="1"/>
  <c r="AG155" i="1" s="1"/>
  <c r="U152" i="1"/>
  <c r="AG152" i="1" s="1"/>
  <c r="U149" i="1"/>
  <c r="AG149" i="1" s="1"/>
  <c r="U146" i="1"/>
  <c r="AG146" i="1" s="1"/>
  <c r="U143" i="1"/>
  <c r="AG143" i="1" s="1"/>
  <c r="U140" i="1"/>
  <c r="AG140" i="1" s="1"/>
  <c r="U137" i="1"/>
  <c r="AG137" i="1" s="1"/>
  <c r="U134" i="1"/>
  <c r="AL134" i="1" s="1"/>
  <c r="U131" i="1"/>
  <c r="AG131" i="1" s="1"/>
  <c r="U128" i="1"/>
  <c r="AG128" i="1" s="1"/>
  <c r="U125" i="1"/>
  <c r="AG125" i="1" s="1"/>
  <c r="U122" i="1"/>
  <c r="AG122" i="1" s="1"/>
  <c r="U119" i="1"/>
  <c r="AG119" i="1" s="1"/>
  <c r="U116" i="1"/>
  <c r="AG116" i="1" s="1"/>
  <c r="U113" i="1"/>
  <c r="AG113" i="1" s="1"/>
  <c r="U110" i="1"/>
  <c r="AG110" i="1" s="1"/>
  <c r="U107" i="1"/>
  <c r="AG107" i="1" s="1"/>
  <c r="U104" i="1"/>
  <c r="AG104" i="1" s="1"/>
  <c r="U101" i="1"/>
  <c r="AG101" i="1" s="1"/>
  <c r="U98" i="1"/>
  <c r="AL98" i="1" s="1"/>
  <c r="U95" i="1"/>
  <c r="AG95" i="1" s="1"/>
  <c r="U92" i="1"/>
  <c r="AG92" i="1" s="1"/>
  <c r="U89" i="1"/>
  <c r="AG89" i="1" s="1"/>
  <c r="U86" i="1"/>
  <c r="AG86" i="1" s="1"/>
  <c r="U83" i="1"/>
  <c r="AG83" i="1" s="1"/>
  <c r="U80" i="1"/>
  <c r="AG80" i="1" s="1"/>
  <c r="U77" i="1"/>
  <c r="AG77" i="1" s="1"/>
  <c r="U74" i="1"/>
  <c r="AG74" i="1" s="1"/>
  <c r="U71" i="1"/>
  <c r="AG71" i="1" s="1"/>
  <c r="U68" i="1"/>
  <c r="AG68" i="1" s="1"/>
  <c r="U65" i="1"/>
  <c r="AG65" i="1" s="1"/>
  <c r="U62" i="1"/>
  <c r="AG62" i="1" s="1"/>
  <c r="U59" i="1"/>
  <c r="AG59" i="1" s="1"/>
  <c r="U56" i="1"/>
  <c r="AG56" i="1" s="1"/>
  <c r="U53" i="1"/>
  <c r="AG53" i="1" s="1"/>
  <c r="U50" i="1"/>
  <c r="AG50" i="1" s="1"/>
  <c r="U47" i="1"/>
  <c r="AG47" i="1" s="1"/>
  <c r="U44" i="1"/>
  <c r="AG44" i="1" s="1"/>
  <c r="U41" i="1"/>
  <c r="AG41" i="1" s="1"/>
  <c r="U38" i="1"/>
  <c r="AG38" i="1" s="1"/>
  <c r="U35" i="1"/>
  <c r="AG35" i="1" s="1"/>
  <c r="U32" i="1"/>
  <c r="AG32" i="1" s="1"/>
  <c r="U29" i="1"/>
  <c r="AG29" i="1" s="1"/>
  <c r="U26" i="1"/>
  <c r="AG26" i="1" s="1"/>
  <c r="U23" i="1"/>
  <c r="AG23" i="1" s="1"/>
  <c r="U20" i="1"/>
  <c r="AG20" i="1" s="1"/>
  <c r="U17" i="1"/>
  <c r="AG17" i="1" s="1"/>
  <c r="U14" i="1"/>
  <c r="AG14" i="1" s="1"/>
  <c r="U11" i="1"/>
  <c r="AG11" i="1" s="1"/>
  <c r="U8" i="1"/>
  <c r="AG8" i="1" s="1"/>
  <c r="U5" i="1"/>
  <c r="AG5" i="1" s="1"/>
  <c r="U2" i="1"/>
  <c r="AG2" i="1" s="1"/>
  <c r="AD260" i="1"/>
  <c r="AD263" i="1" s="1"/>
  <c r="AD261" i="1"/>
  <c r="AD264" i="1" s="1"/>
  <c r="AD262" i="1"/>
  <c r="AD265" i="1" s="1"/>
  <c r="Z260" i="1"/>
  <c r="Z263" i="1" s="1"/>
  <c r="AA260" i="1"/>
  <c r="AA263" i="1" s="1"/>
  <c r="AB260" i="1"/>
  <c r="AC260" i="1"/>
  <c r="Z261" i="1"/>
  <c r="Z264" i="1" s="1"/>
  <c r="AA261" i="1"/>
  <c r="AB261" i="1"/>
  <c r="AB264" i="1" s="1"/>
  <c r="AC261" i="1"/>
  <c r="AC264" i="1" s="1"/>
  <c r="Z262" i="1"/>
  <c r="Z265" i="1" s="1"/>
  <c r="AA262" i="1"/>
  <c r="AA265" i="1" s="1"/>
  <c r="AB262" i="1"/>
  <c r="AB265" i="1" s="1"/>
  <c r="AC262" i="1"/>
  <c r="AC265" i="1" s="1"/>
  <c r="Y262" i="1"/>
  <c r="Y265" i="1" s="1"/>
  <c r="Y261" i="1"/>
  <c r="Y264" i="1" s="1"/>
  <c r="Y260" i="1"/>
  <c r="Y263" i="1" s="1"/>
  <c r="W262" i="1"/>
  <c r="W265" i="1" s="1"/>
  <c r="W261" i="1"/>
  <c r="W264" i="1" s="1"/>
  <c r="W260" i="1"/>
  <c r="W263" i="1" s="1"/>
  <c r="R260" i="1"/>
  <c r="R263" i="1" s="1"/>
  <c r="S260" i="1"/>
  <c r="S263" i="1" s="1"/>
  <c r="T260" i="1"/>
  <c r="T263" i="1" s="1"/>
  <c r="R261" i="1"/>
  <c r="R264" i="1" s="1"/>
  <c r="S261" i="1"/>
  <c r="T261" i="1"/>
  <c r="T264" i="1" s="1"/>
  <c r="R262" i="1"/>
  <c r="R265" i="1" s="1"/>
  <c r="S262" i="1"/>
  <c r="S265" i="1" s="1"/>
  <c r="T262" i="1"/>
  <c r="T265" i="1" s="1"/>
  <c r="Q261" i="1"/>
  <c r="Q264" i="1" s="1"/>
  <c r="Q262" i="1"/>
  <c r="Q265" i="1" s="1"/>
  <c r="Q260" i="1"/>
  <c r="Q263" i="1" s="1"/>
  <c r="O262" i="1"/>
  <c r="O265" i="1" s="1"/>
  <c r="O261" i="1"/>
  <c r="O264" i="1" s="1"/>
  <c r="O260" i="1"/>
  <c r="O263" i="1" s="1"/>
  <c r="E262" i="1"/>
  <c r="E265" i="1" s="1"/>
  <c r="E261" i="1"/>
  <c r="E264" i="1" s="1"/>
  <c r="E260" i="1"/>
  <c r="X263" i="1"/>
  <c r="AB263" i="1"/>
  <c r="AC263" i="1"/>
  <c r="X264" i="1"/>
  <c r="AA264" i="1"/>
  <c r="X265" i="1"/>
  <c r="V263" i="1"/>
  <c r="AH263" i="1" s="1"/>
  <c r="S264" i="1"/>
  <c r="U264" i="1"/>
  <c r="V264" i="1"/>
  <c r="AH264" i="1" s="1"/>
  <c r="U265" i="1"/>
  <c r="AL265" i="1" s="1"/>
  <c r="V265" i="1"/>
  <c r="AH265" i="1" s="1"/>
  <c r="M263" i="1"/>
  <c r="N263" i="1"/>
  <c r="P263" i="1"/>
  <c r="M264" i="1"/>
  <c r="N264" i="1"/>
  <c r="P264" i="1"/>
  <c r="M265" i="1"/>
  <c r="N265" i="1"/>
  <c r="P265" i="1"/>
  <c r="F263" i="1"/>
  <c r="G263" i="1"/>
  <c r="H263" i="1"/>
  <c r="I263" i="1"/>
  <c r="J263" i="1"/>
  <c r="K263" i="1"/>
  <c r="L263" i="1"/>
  <c r="F264" i="1"/>
  <c r="G264" i="1"/>
  <c r="H264" i="1"/>
  <c r="I264" i="1"/>
  <c r="J264" i="1"/>
  <c r="K264" i="1"/>
  <c r="L264" i="1"/>
  <c r="F265" i="1"/>
  <c r="G265" i="1"/>
  <c r="H265" i="1"/>
  <c r="I265" i="1"/>
  <c r="J265" i="1"/>
  <c r="K265" i="1"/>
  <c r="L265" i="1"/>
  <c r="D264" i="1"/>
  <c r="D265" i="1"/>
  <c r="AI2" i="1"/>
  <c r="AH2" i="1"/>
  <c r="AF2" i="1"/>
  <c r="AE2" i="1"/>
  <c r="E16" i="4" l="1"/>
  <c r="D17" i="4"/>
  <c r="H16" i="4"/>
  <c r="N16" i="4"/>
  <c r="P16" i="4"/>
  <c r="C17" i="4"/>
  <c r="G16" i="4"/>
  <c r="F16" i="4"/>
  <c r="O16" i="4"/>
  <c r="M17" i="4"/>
  <c r="K17" i="4"/>
  <c r="J17" i="4"/>
  <c r="L16" i="4"/>
  <c r="D16" i="4"/>
  <c r="I16" i="4"/>
  <c r="H17" i="4"/>
  <c r="G17" i="4"/>
  <c r="L17" i="4"/>
  <c r="K16" i="4"/>
  <c r="J16" i="4"/>
  <c r="C16" i="4"/>
  <c r="F17" i="4"/>
  <c r="E17" i="4"/>
  <c r="P17" i="4"/>
  <c r="O17" i="4"/>
  <c r="AE260" i="1"/>
  <c r="AL335" i="1"/>
  <c r="AL191" i="1"/>
  <c r="AL47" i="1"/>
  <c r="AN263" i="1"/>
  <c r="AL287" i="1"/>
  <c r="AL95" i="1"/>
  <c r="AL299" i="1"/>
  <c r="AG314" i="1"/>
  <c r="AE262" i="1"/>
  <c r="U263" i="1"/>
  <c r="AL263" i="1" s="1"/>
  <c r="AG275" i="1"/>
  <c r="AG98" i="1"/>
  <c r="AJ264" i="1"/>
  <c r="AL251" i="1"/>
  <c r="AL203" i="1"/>
  <c r="AL155" i="1"/>
  <c r="AL107" i="1"/>
  <c r="AL59" i="1"/>
  <c r="AL11" i="1"/>
  <c r="AM263" i="1"/>
  <c r="AG278" i="1"/>
  <c r="AL239" i="1"/>
  <c r="AG260" i="1"/>
  <c r="AG338" i="1"/>
  <c r="AL359" i="1"/>
  <c r="AL215" i="1"/>
  <c r="AL167" i="1"/>
  <c r="AL119" i="1"/>
  <c r="AL71" i="1"/>
  <c r="AL23" i="1"/>
  <c r="AN265" i="1"/>
  <c r="AG265" i="1"/>
  <c r="AG350" i="1"/>
  <c r="AL323" i="1"/>
  <c r="AK261" i="1"/>
  <c r="AG266" i="1"/>
  <c r="AL371" i="1"/>
  <c r="AJ261" i="1"/>
  <c r="AL227" i="1"/>
  <c r="AL179" i="1"/>
  <c r="AL131" i="1"/>
  <c r="AL83" i="1"/>
  <c r="AL35" i="1"/>
  <c r="AL261" i="1"/>
  <c r="AG230" i="1"/>
  <c r="AI265" i="1"/>
  <c r="AF263" i="1"/>
  <c r="AI263" i="1"/>
  <c r="AG264" i="1"/>
  <c r="AG134" i="1"/>
  <c r="AL2" i="1"/>
  <c r="AL362" i="1"/>
  <c r="AL326" i="1"/>
  <c r="AL302" i="1"/>
  <c r="AL290" i="1"/>
  <c r="AL254" i="1"/>
  <c r="AL242" i="1"/>
  <c r="AL218" i="1"/>
  <c r="AL206" i="1"/>
  <c r="AL194" i="1"/>
  <c r="AL182" i="1"/>
  <c r="AL170" i="1"/>
  <c r="AL158" i="1"/>
  <c r="AL146" i="1"/>
  <c r="AL122" i="1"/>
  <c r="AL110" i="1"/>
  <c r="AL86" i="1"/>
  <c r="AL74" i="1"/>
  <c r="AL62" i="1"/>
  <c r="AL50" i="1"/>
  <c r="AL38" i="1"/>
  <c r="AL26" i="1"/>
  <c r="AL14" i="1"/>
  <c r="AM265" i="1"/>
  <c r="AK263" i="1"/>
  <c r="AN260" i="1"/>
  <c r="AI261" i="1"/>
  <c r="AF265" i="1"/>
  <c r="AG347" i="1"/>
  <c r="AG261" i="1"/>
  <c r="AI264" i="1"/>
  <c r="AG305" i="1"/>
  <c r="AL311" i="1"/>
  <c r="AE265" i="1"/>
  <c r="AG269" i="1"/>
  <c r="AL368" i="1"/>
  <c r="AL356" i="1"/>
  <c r="AL344" i="1"/>
  <c r="AL332" i="1"/>
  <c r="AL320" i="1"/>
  <c r="AL308" i="1"/>
  <c r="AL296" i="1"/>
  <c r="AL284" i="1"/>
  <c r="AL272" i="1"/>
  <c r="AK265" i="1"/>
  <c r="AN262" i="1"/>
  <c r="AL260" i="1"/>
  <c r="AL248" i="1"/>
  <c r="AL236" i="1"/>
  <c r="AL224" i="1"/>
  <c r="AL212" i="1"/>
  <c r="AL200" i="1"/>
  <c r="AL188" i="1"/>
  <c r="AL176" i="1"/>
  <c r="AL164" i="1"/>
  <c r="AL152" i="1"/>
  <c r="AL140" i="1"/>
  <c r="AL128" i="1"/>
  <c r="AL116" i="1"/>
  <c r="AL104" i="1"/>
  <c r="AL92" i="1"/>
  <c r="AL80" i="1"/>
  <c r="AL68" i="1"/>
  <c r="AL56" i="1"/>
  <c r="AL44" i="1"/>
  <c r="AL32" i="1"/>
  <c r="AL20" i="1"/>
  <c r="AL8" i="1"/>
  <c r="AE264" i="1"/>
  <c r="AJ265" i="1"/>
  <c r="AK260" i="1"/>
  <c r="AF264" i="1"/>
  <c r="AN264" i="1"/>
  <c r="AL262" i="1"/>
  <c r="AJ260" i="1"/>
  <c r="AL365" i="1"/>
  <c r="AL353" i="1"/>
  <c r="AL341" i="1"/>
  <c r="AL329" i="1"/>
  <c r="AL317" i="1"/>
  <c r="AL293" i="1"/>
  <c r="AL281" i="1"/>
  <c r="AM264" i="1"/>
  <c r="AK262" i="1"/>
  <c r="AL257" i="1"/>
  <c r="AL245" i="1"/>
  <c r="AL233" i="1"/>
  <c r="AL221" i="1"/>
  <c r="AL209" i="1"/>
  <c r="AL197" i="1"/>
  <c r="AL185" i="1"/>
  <c r="AL173" i="1"/>
  <c r="AL161" i="1"/>
  <c r="AL149" i="1"/>
  <c r="AL137" i="1"/>
  <c r="AL125" i="1"/>
  <c r="AL113" i="1"/>
  <c r="AL101" i="1"/>
  <c r="AL89" i="1"/>
  <c r="AL77" i="1"/>
  <c r="AL65" i="1"/>
  <c r="AL53" i="1"/>
  <c r="AL41" i="1"/>
  <c r="AL29" i="1"/>
  <c r="AL17" i="1"/>
  <c r="AL5" i="1"/>
  <c r="AL264" i="1"/>
  <c r="AJ262" i="1"/>
  <c r="AK264" i="1"/>
  <c r="AN261" i="1"/>
  <c r="AE261" i="1"/>
  <c r="E263" i="1"/>
  <c r="AE263" i="1" s="1"/>
  <c r="AI260" i="1"/>
  <c r="AI262" i="1"/>
  <c r="AF260" i="1"/>
  <c r="AG262" i="1"/>
  <c r="AF261" i="1"/>
  <c r="AF262" i="1"/>
  <c r="AG263" i="1" l="1"/>
  <c r="AJ263" i="1"/>
</calcChain>
</file>

<file path=xl/sharedStrings.xml><?xml version="1.0" encoding="utf-8"?>
<sst xmlns="http://schemas.openxmlformats.org/spreadsheetml/2006/main" count="1014" uniqueCount="139">
  <si>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</si>
  <si>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</si>
  <si>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</si>
  <si>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</si>
  <si>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</si>
  <si>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</si>
  <si>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</si>
  <si>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</si>
  <si>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</si>
  <si>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</si>
  <si>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</si>
  <si>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</si>
  <si>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</si>
  <si>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</si>
  <si>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</si>
  <si>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</si>
  <si>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</si>
  <si>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</si>
  <si>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</si>
  <si>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</si>
  <si>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</si>
  <si>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</si>
  <si>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</si>
  <si>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</si>
  <si>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</si>
  <si>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</si>
  <si>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</si>
  <si>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</si>
  <si>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</si>
  <si>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</si>
  <si>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</si>
  <si>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</si>
  <si>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</si>
  <si>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</si>
  <si>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</si>
  <si>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</si>
  <si>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</si>
  <si>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</si>
  <si>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</si>
  <si>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</si>
  <si>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</si>
  <si>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</si>
  <si>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</si>
  <si>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</si>
  <si>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</si>
  <si>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</si>
  <si>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</si>
  <si>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Food &amp; Beverages</t>
  </si>
  <si>
    <t>Energy &amp; Fuel</t>
  </si>
  <si>
    <t>Misc</t>
  </si>
  <si>
    <t>Food1</t>
  </si>
  <si>
    <t>Clothing1</t>
  </si>
  <si>
    <t>Housing1</t>
  </si>
  <si>
    <t>Energy1</t>
  </si>
  <si>
    <t>Misc1</t>
  </si>
  <si>
    <t>Column Labels</t>
  </si>
  <si>
    <t>Grand Total</t>
  </si>
  <si>
    <t>Row Labels</t>
  </si>
  <si>
    <t>Sum of Food &amp; Beverages</t>
  </si>
  <si>
    <t>Sum of Clothing2</t>
  </si>
  <si>
    <t>Sum of Housing2</t>
  </si>
  <si>
    <t>Sum of Energy &amp; Fuel</t>
  </si>
  <si>
    <t>Sum of Misc</t>
  </si>
  <si>
    <t>Average of General index</t>
  </si>
  <si>
    <t xml:space="preserve">Y-O-Y </t>
  </si>
  <si>
    <t xml:space="preserve"> Food1</t>
  </si>
  <si>
    <t xml:space="preserve"> Cereals and products</t>
  </si>
  <si>
    <t xml:space="preserve"> Meat and fish</t>
  </si>
  <si>
    <t xml:space="preserve"> Egg</t>
  </si>
  <si>
    <t xml:space="preserve"> Milk and products</t>
  </si>
  <si>
    <t xml:space="preserve"> Oils and fats</t>
  </si>
  <si>
    <t xml:space="preserve"> Fruits</t>
  </si>
  <si>
    <t xml:space="preserve"> Vegetables</t>
  </si>
  <si>
    <t xml:space="preserve"> Pulses and products</t>
  </si>
  <si>
    <t xml:space="preserve"> Sugar and Confectionery</t>
  </si>
  <si>
    <t xml:space="preserve"> Spices</t>
  </si>
  <si>
    <t xml:space="preserve"> Non-alcoholic beverages</t>
  </si>
  <si>
    <t xml:space="preserve"> Prepared meals, snacks, sweets etc.</t>
  </si>
  <si>
    <t xml:space="preserve"> Food and beverages</t>
  </si>
  <si>
    <t>Months</t>
  </si>
  <si>
    <t>Max</t>
  </si>
  <si>
    <t>Min</t>
  </si>
  <si>
    <t xml:space="preserve"> Housing1</t>
  </si>
  <si>
    <t xml:space="preserve"> Energy1</t>
  </si>
  <si>
    <t xml:space="preserve"> Health</t>
  </si>
  <si>
    <t xml:space="preserve"> Transport and communication</t>
  </si>
  <si>
    <t xml:space="preserve"> Recreation and amusement</t>
  </si>
  <si>
    <t xml:space="preserve"> Education</t>
  </si>
  <si>
    <t xml:space="preserve"> Personal care and effects</t>
  </si>
  <si>
    <t xml:space="preserve"> Clothing1</t>
  </si>
  <si>
    <t>Food Onset Phase</t>
  </si>
  <si>
    <t>Food Progression Phase</t>
  </si>
  <si>
    <t>Housing Progression Phase</t>
  </si>
  <si>
    <t>Energy Progression Phase</t>
  </si>
  <si>
    <t>Health Progression Phase</t>
  </si>
  <si>
    <t>Transport Progression Phase</t>
  </si>
  <si>
    <t>Recreation Progression Phase</t>
  </si>
  <si>
    <t>Education Progression Phase</t>
  </si>
  <si>
    <t>Personal Care Progression Phase</t>
  </si>
  <si>
    <t>Housing Onset Phase</t>
  </si>
  <si>
    <t>Energy Onset Phase</t>
  </si>
  <si>
    <t>Health Onset Phase</t>
  </si>
  <si>
    <t>Transport Onset Phase</t>
  </si>
  <si>
    <t>Recreation Onset Phase</t>
  </si>
  <si>
    <t>Education Onset Phase</t>
  </si>
  <si>
    <t>Personal Care Onset Phase</t>
  </si>
  <si>
    <t>Clothing Onset Phase</t>
  </si>
  <si>
    <t xml:space="preserve">Clothing </t>
  </si>
  <si>
    <t>Transportation</t>
  </si>
  <si>
    <t>Summary of Differences</t>
  </si>
  <si>
    <t xml:space="preserve">Feature </t>
  </si>
  <si>
    <t>2020 Inflation Drivers</t>
  </si>
  <si>
    <t>2022 Inflation Drivers</t>
  </si>
  <si>
    <t>Primary Cause</t>
  </si>
  <si>
    <t>Domestic Lockdowns (Supply Side)</t>
  </si>
  <si>
    <t>Global Conflict/Commodity Crisis (Imported)</t>
  </si>
  <si>
    <t>Food Items</t>
  </si>
  <si>
    <t>Vegetable/Perishables due to transport issues</t>
  </si>
  <si>
    <t>Edible Oil/Wheat due to international shortage</t>
  </si>
  <si>
    <t>Energy Prices</t>
  </si>
  <si>
    <t>Low demand initially, then logistical costs</t>
  </si>
  <si>
    <t>Surging crude oil and fuel costs</t>
  </si>
  <si>
    <t>Core Inflation</t>
  </si>
  <si>
    <t>Moderate</t>
  </si>
  <si>
    <t>High/Rising post-COVID demand</t>
  </si>
  <si>
    <t xml:space="preserve">Note: In both years, the high weight of food in India's CPI (46%) meant that agricultural disruptions were the primary magnifier of headline inflation. </t>
  </si>
  <si>
    <t>Note</t>
  </si>
  <si>
    <t>In both the year of inflation, agricultural products caused the highest inflation</t>
  </si>
  <si>
    <t>Food</t>
  </si>
  <si>
    <t>Energy/Fuel</t>
  </si>
  <si>
    <t xml:space="preserve">Housing </t>
  </si>
  <si>
    <t>Healthcare</t>
  </si>
  <si>
    <t xml:space="preserve">Education &amp; Recreation </t>
  </si>
  <si>
    <t>Others</t>
  </si>
  <si>
    <t>Year 2021-2023</t>
  </si>
  <si>
    <t>Crude Oil</t>
  </si>
  <si>
    <t>Correl Between</t>
  </si>
  <si>
    <t xml:space="preserve">Crude oil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</si>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</sst>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0000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5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5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33" borderId="0" xfId="0" applyFill="1"/>
    <xf numFmtId="164" fontId="0" fillId="0" borderId="0" xfId="0" applyNumberFormat="1"/>
    <xf numFmtId="0" fontId="15" fillId="34" borderId="0" xfId="0" applyFont="1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42" applyNumberFormat="1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1" fillId="11" borderId="10" xfId="20" applyBorder="1" applyAlignment="1">
      <alignment horizontal="right"/>
    </xf>
    <xf numFmtId="0" fontId="1" fillId="11" borderId="12" xfId="20" applyBorder="1"/>
    <xf numFmtId="0" fontId="1" fillId="11" borderId="13" xfId="20" applyBorder="1"/>
    <xf numFmtId="10" fontId="1" fillId="11" borderId="12" xfId="20" applyNumberFormat="1" applyBorder="1"/>
    <xf numFmtId="10" fontId="1" fillId="11" borderId="13" xfId="20" applyNumberFormat="1" applyBorder="1"/>
    <xf numFmtId="10" fontId="0" fillId="0" borderId="16" xfId="0" applyNumberFormat="1" applyBorder="1"/>
    <xf numFmtId="10" fontId="0" fillId="0" borderId="17" xfId="0" applyNumberFormat="1" applyBorder="1"/>
    <xf numFmtId="10" fontId="0" fillId="0" borderId="18" xfId="0" applyNumberFormat="1" applyBorder="1"/>
    <xf numFmtId="0" fontId="0" fillId="0" borderId="19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20" xfId="0" applyBorder="1"/>
    <xf numFmtId="0" fontId="0" fillId="0" borderId="11" xfId="0" applyBorder="1"/>
    <xf numFmtId="10" fontId="0" fillId="34" borderId="0" xfId="0" applyNumberFormat="1" applyFill="1"/>
    <xf numFmtId="10" fontId="0" fillId="34" borderId="17" xfId="0" applyNumberFormat="1" applyFill="1" applyBorder="1"/>
    <xf numFmtId="10" fontId="0" fillId="34" borderId="16" xfId="0" applyNumberFormat="1" applyFill="1" applyBorder="1"/>
    <xf numFmtId="10" fontId="0" fillId="35" borderId="0" xfId="0" applyNumberFormat="1" applyFill="1"/>
    <xf numFmtId="10" fontId="0" fillId="35" borderId="16" xfId="0" applyNumberFormat="1" applyFill="1" applyBorder="1"/>
    <xf numFmtId="10" fontId="0" fillId="0" borderId="14" xfId="0" applyNumberFormat="1" applyBorder="1"/>
    <xf numFmtId="10" fontId="0" fillId="0" borderId="15" xfId="0" applyNumberFormat="1" applyBorder="1"/>
    <xf numFmtId="0" fontId="0" fillId="0" borderId="10" xfId="0" applyBorder="1" applyAlignment="1">
      <alignment horizontal="left" indent="1"/>
    </xf>
    <xf numFmtId="10" fontId="0" fillId="0" borderId="0" xfId="42" applyNumberFormat="1" applyFont="1"/>
    <xf numFmtId="10" fontId="0" fillId="36" borderId="0" xfId="0" applyNumberFormat="1" applyFill="1"/>
    <xf numFmtId="10" fontId="0" fillId="37" borderId="0" xfId="0" applyNumberFormat="1" applyFill="1"/>
    <xf numFmtId="0" fontId="0" fillId="0" borderId="0" xfId="0" applyAlignment="1">
      <alignment horizontal="center"/>
    </xf>
    <xf numFmtId="0" fontId="17" fillId="0" borderId="0" xfId="0" applyFont="1"/>
    <xf numFmtId="0" fontId="0" fillId="36" borderId="0" xfId="0" applyFill="1"/>
    <xf numFmtId="0" fontId="18" fillId="0" borderId="0" xfId="0" applyFont="1" applyAlignment="1">
      <alignment horizontal="center"/>
    </xf>
    <xf numFmtId="0" fontId="19" fillId="39" borderId="27" xfId="0" applyFont="1" applyFill="1" applyBorder="1"/>
    <xf numFmtId="2" fontId="0" fillId="40" borderId="26" xfId="0" applyNumberFormat="1" applyFill="1" applyBorder="1"/>
    <xf numFmtId="2" fontId="0" fillId="40" borderId="25" xfId="0" applyNumberFormat="1" applyFill="1" applyBorder="1"/>
    <xf numFmtId="0" fontId="15" fillId="33" borderId="28" xfId="0" applyFont="1" applyFill="1" applyBorder="1"/>
    <xf numFmtId="2" fontId="0" fillId="38" borderId="29" xfId="0" applyNumberFormat="1" applyFill="1" applyBorder="1"/>
    <xf numFmtId="2" fontId="0" fillId="41" borderId="30" xfId="0" applyNumberFormat="1" applyFill="1" applyBorder="1"/>
    <xf numFmtId="2" fontId="0" fillId="38" borderId="30" xfId="0" applyNumberFormat="1" applyFill="1" applyBorder="1"/>
    <xf numFmtId="0" fontId="15" fillId="6" borderId="4" xfId="11"/>
    <xf numFmtId="0" fontId="0" fillId="0" borderId="31" xfId="0" applyBorder="1"/>
    <xf numFmtId="10" fontId="0" fillId="0" borderId="21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0" fontId="15" fillId="33" borderId="27" xfId="0" applyFont="1" applyFill="1" applyBorder="1"/>
    <xf numFmtId="166" fontId="0" fillId="43" borderId="32" xfId="0" applyNumberFormat="1" applyFill="1" applyBorder="1"/>
    <xf numFmtId="166" fontId="0" fillId="44" borderId="32" xfId="0" applyNumberFormat="1" applyFill="1" applyBorder="1"/>
    <xf numFmtId="0" fontId="19" fillId="42" borderId="27" xfId="0" applyFont="1" applyFill="1" applyBorder="1" applyAlignment="1">
      <alignment horizontal="center"/>
    </xf>
    <xf numFmtId="167" fontId="15" fillId="6" borderId="33" xfId="11" applyNumberFormat="1" applyBorder="1" applyAlignment="1">
      <alignment horizontal="center"/>
    </xf>
    <xf numFmtId="167" fontId="15" fillId="6" borderId="4" xfId="1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left"/>
    </xf>
    <xf numFmtId="0" fontId="0" fillId="46" borderId="27" xfId="0" applyFill="1" applyBorder="1"/>
    <xf numFmtId="0" fontId="15" fillId="45" borderId="27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CC99FF"/>
      <color rgb="FFCC66FF"/>
      <color rgb="FFF4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Contribution of different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83-4452-8D5E-3253E92A366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83-4452-8D5E-3253E92A366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83-4452-8D5E-3253E92A366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83-4452-8D5E-3253E92A366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83-4452-8D5E-3253E92A36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'1'!$B$9:$F$9</c:f>
              <c:strCache>
                <c:ptCount val="5"/>
                <c:pt idx="0">
                  <c:v>Food &amp; Beverages</c:v>
                </c:pt>
                <c:pt idx="1">
                  <c:v>Clothing</c:v>
                </c:pt>
                <c:pt idx="2">
                  <c:v>Housing</c:v>
                </c:pt>
                <c:pt idx="3">
                  <c:v>Energy &amp; Fuel</c:v>
                </c:pt>
                <c:pt idx="4">
                  <c:v>Misc</c:v>
                </c:pt>
              </c:strCache>
            </c:strRef>
          </c:cat>
          <c:val>
            <c:numRef>
              <c:f>'1'!$B$10:$F$10</c:f>
              <c:numCache>
                <c:formatCode>0.0%</c:formatCode>
                <c:ptCount val="5"/>
                <c:pt idx="0">
                  <c:v>0.49626692054947497</c:v>
                </c:pt>
                <c:pt idx="1">
                  <c:v>0.11824162294107964</c:v>
                </c:pt>
                <c:pt idx="2">
                  <c:v>7.5298682147791299E-2</c:v>
                </c:pt>
                <c:pt idx="3">
                  <c:v>3.9277865666406578E-2</c:v>
                </c:pt>
                <c:pt idx="4">
                  <c:v>0.27091490869524754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9-470D-8936-4334B0D400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'2'!$B$14</c:f>
              <c:strCache>
                <c:ptCount val="1"/>
                <c:pt idx="0">
                  <c:v>Y-O-Y 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'2'!$A$15:$A$21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'2'!$B$15:$B$21</c:f>
              <c:numCache>
                <c:formatCode>0.00%</c:formatCode>
                <c:ptCount val="7"/>
                <c:pt idx="0">
                  <c:v>3.3281733746129971E-2</c:v>
                </c:pt>
                <c:pt idx="1">
                  <c:v>3.9513108614232406E-2</c:v>
                </c:pt>
                <c:pt idx="2">
                  <c:v>3.8961038961039085E-2</c:v>
                </c:pt>
                <c:pt idx="3">
                  <c:v>5.8906052963429545E-2</c:v>
                </c:pt>
                <c:pt idx="4">
                  <c:v>5.7529610829103239E-2</c:v>
                </c:pt>
                <c:pt idx="5">
                  <c:v>6.6219354838709554E-2</c:v>
                </c:pt>
                <c:pt idx="6">
                  <c:v>3.1774615161196618E-2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1-4828-B435-9F1D9477CC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67160464"/>
        <c:axId val="1867160944"/>
      </c:lineChart>
      <c:catAx>
        <c:axId val="18671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60944"/>
        <c:crosses val="autoZero"/>
        <c:auto val="1"/>
        <c:lblAlgn val="ctr"/>
        <c:lblOffset val="100"/>
        <c:noMultiLvlLbl val="0"/>
      </c:catAx>
      <c:valAx>
        <c:axId val="18671609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'3'!$A$16:$B$16</c:f>
              <c:strCache>
                <c:ptCount val="2"/>
                <c:pt idx="0">
                  <c:v>Max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'3'!$C$15:$P$15</c:f>
              <c:strCache>
                <c:ptCount val="14"/>
                <c:pt idx="0">
                  <c:v> Food1</c:v>
                </c:pt>
                <c:pt idx="1">
                  <c:v> Cereals and products</c:v>
                </c:pt>
                <c:pt idx="2">
                  <c:v> Meat and fish</c:v>
                </c:pt>
                <c:pt idx="3">
                  <c:v> Egg</c:v>
                </c:pt>
                <c:pt idx="4">
                  <c:v> Milk and products</c:v>
                </c:pt>
                <c:pt idx="5">
                  <c:v> Oils and fats</c:v>
                </c:pt>
                <c:pt idx="6">
                  <c:v> Fruits</c:v>
                </c:pt>
                <c:pt idx="7">
                  <c:v> Vegetables</c:v>
                </c:pt>
                <c:pt idx="8">
                  <c:v> Pulses and products</c:v>
                </c:pt>
                <c:pt idx="9">
                  <c:v> Sugar and Confectionery</c:v>
                </c:pt>
                <c:pt idx="10">
                  <c:v> Spices</c:v>
                </c:pt>
                <c:pt idx="11">
                  <c:v> Non-alcoholic beverages</c:v>
                </c:pt>
                <c:pt idx="12">
                  <c:v> Prepared meals, snacks, sweets etc.</c:v>
                </c:pt>
                <c:pt idx="13">
                  <c:v> Food and beverages</c:v>
                </c:pt>
              </c:strCache>
            </c:strRef>
          </c:cat>
          <c:val>
            <c:numRef>
              <c:f>'3'!$C$16:$P$16</c:f>
              <c:numCache>
                <c:formatCode>0.00%</c:formatCode>
                <c:ptCount val="14"/>
                <c:pt idx="0">
                  <c:v>1.0374708304225599E-2</c:v>
                </c:pt>
                <c:pt idx="1">
                  <c:v>2.5383707201888983E-2</c:v>
                </c:pt>
                <c:pt idx="2">
                  <c:v>2.4289569772979913E-2</c:v>
                </c:pt>
                <c:pt idx="3">
                  <c:v>6.1781329175599309E-2</c:v>
                </c:pt>
                <c:pt idx="4">
                  <c:v>1.5455065827132408E-2</c:v>
                </c:pt>
                <c:pt idx="5">
                  <c:v>1.2774379273119862E-2</c:v>
                </c:pt>
                <c:pt idx="6">
                  <c:v>7.0932435276783723E-2</c:v>
                </c:pt>
                <c:pt idx="7">
                  <c:v>4.1968430826369474E-2</c:v>
                </c:pt>
                <c:pt idx="8">
                  <c:v>1.8063730464785932E-2</c:v>
                </c:pt>
                <c:pt idx="9">
                  <c:v>1.0964912280701844E-2</c:v>
                </c:pt>
                <c:pt idx="10">
                  <c:v>2.3105941527821416E-2</c:v>
                </c:pt>
                <c:pt idx="11">
                  <c:v>5.4687500000001332E-3</c:v>
                </c:pt>
                <c:pt idx="12">
                  <c:v>9.5818815331010221E-3</c:v>
                </c:pt>
                <c:pt idx="13">
                  <c:v>9.7178097551857689E-3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0-4F54-BE42-39A88830DF32}"/>
            </c:ext>
          </c:extLst>
        </c:ser>
        <c:ser>
          <c:idx val="1"/>
          <c:order val="1"/>
          <c:tx>
            <c:strRef>
              <c:f>'3'!$A$17:$B$17</c:f>
              <c:strCache>
                <c:ptCount val="2"/>
                <c:pt idx="0">
                  <c:v>Min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'3'!$C$15:$P$15</c:f>
              <c:strCache>
                <c:ptCount val="14"/>
                <c:pt idx="0">
                  <c:v> Food1</c:v>
                </c:pt>
                <c:pt idx="1">
                  <c:v> Cereals and products</c:v>
                </c:pt>
                <c:pt idx="2">
                  <c:v> Meat and fish</c:v>
                </c:pt>
                <c:pt idx="3">
                  <c:v> Egg</c:v>
                </c:pt>
                <c:pt idx="4">
                  <c:v> Milk and products</c:v>
                </c:pt>
                <c:pt idx="5">
                  <c:v> Oils and fats</c:v>
                </c:pt>
                <c:pt idx="6">
                  <c:v> Fruits</c:v>
                </c:pt>
                <c:pt idx="7">
                  <c:v> Vegetables</c:v>
                </c:pt>
                <c:pt idx="8">
                  <c:v> Pulses and products</c:v>
                </c:pt>
                <c:pt idx="9">
                  <c:v> Sugar and Confectionery</c:v>
                </c:pt>
                <c:pt idx="10">
                  <c:v> Spices</c:v>
                </c:pt>
                <c:pt idx="11">
                  <c:v> Non-alcoholic beverages</c:v>
                </c:pt>
                <c:pt idx="12">
                  <c:v> Prepared meals, snacks, sweets etc.</c:v>
                </c:pt>
                <c:pt idx="13">
                  <c:v> Food and beverages</c:v>
                </c:pt>
              </c:strCache>
            </c:strRef>
          </c:cat>
          <c:val>
            <c:numRef>
              <c:f>'3'!$C$17:$P$17</c:f>
              <c:numCache>
                <c:formatCode>0.00%</c:formatCode>
                <c:ptCount val="14"/>
                <c:pt idx="0">
                  <c:v>-6.1748974474192808E-3</c:v>
                </c:pt>
                <c:pt idx="1">
                  <c:v>-2.8658769583492782E-3</c:v>
                </c:pt>
                <c:pt idx="2">
                  <c:v>-3.0269932906849872E-2</c:v>
                </c:pt>
                <c:pt idx="3">
                  <c:v>-9.9418206707734491E-2</c:v>
                </c:pt>
                <c:pt idx="4">
                  <c:v>0</c:v>
                </c:pt>
                <c:pt idx="5">
                  <c:v>-4.1054141269272093E-2</c:v>
                </c:pt>
                <c:pt idx="6">
                  <c:v>-4.2180277349769146E-2</c:v>
                </c:pt>
                <c:pt idx="7">
                  <c:v>-0.1274544805426634</c:v>
                </c:pt>
                <c:pt idx="8">
                  <c:v>-2.6326447954637677E-3</c:v>
                </c:pt>
                <c:pt idx="9">
                  <c:v>-8.5141444658062282E-3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-1.3614323013801055E-2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0-4F54-BE42-39A88830DF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0193472"/>
        <c:axId val="1870207392"/>
      </c:lineChart>
      <c:catAx>
        <c:axId val="1870193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0207392"/>
        <c:crosses val="autoZero"/>
        <c:auto val="1"/>
        <c:lblAlgn val="ctr"/>
        <c:lblOffset val="100"/>
        <c:noMultiLvlLbl val="0"/>
      </c:catAx>
      <c:valAx>
        <c:axId val="1870207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7019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'4'!$F$41</c:f>
              <c:strCache>
                <c:ptCount val="1"/>
                <c:pt idx="0">
                  <c:v>Health Onset Phase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'4'!$B$42:$B$53</c:f>
              <c:strCache>
                <c:ptCount val="12"/>
                <c:pt idx="0">
                  <c:v>March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'4'!$F$42:$F$53</c:f>
              <c:numCache>
                <c:formatCode>0.00%</c:formatCode>
                <c:ptCount val="12"/>
                <c:pt idx="0">
                  <c:v>4.1474654377879894E-3</c:v>
                </c:pt>
                <c:pt idx="1">
                  <c:v>5.0481872418544071E-3</c:v>
                </c:pt>
                <c:pt idx="2">
                  <c:v>3.1963470319633647E-3</c:v>
                </c:pt>
                <c:pt idx="3">
                  <c:v>3.4137460172962708E-3</c:v>
                </c:pt>
                <c:pt idx="4">
                  <c:v>4.0825584032659901E-3</c:v>
                </c:pt>
                <c:pt idx="5">
                  <c:v>3.614185678789239E-3</c:v>
                </c:pt>
                <c:pt idx="6">
                  <c:v>2.7008777852801646E-3</c:v>
                </c:pt>
                <c:pt idx="7">
                  <c:v>3.3670033670034627E-3</c:v>
                </c:pt>
                <c:pt idx="8">
                  <c:v>3.1319910514540084E-3</c:v>
                </c:pt>
                <c:pt idx="9">
                  <c:v>5.129348795718025E-3</c:v>
                </c:pt>
                <c:pt idx="10">
                  <c:v>-1.6139070326708693E-2</c:v>
                </c:pt>
                <c:pt idx="11">
                  <c:v>7.3219436432219176E-3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D-4767-96F6-7008A519BC90}"/>
            </c:ext>
          </c:extLst>
        </c:ser>
        <c:ser>
          <c:idx val="1"/>
          <c:order val="1"/>
          <c:tx>
            <c:strRef>
              <c:f>'4'!$P$41</c:f>
              <c:strCache>
                <c:ptCount val="1"/>
                <c:pt idx="0">
                  <c:v>Health Progression Phase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'4'!$B$42:$B$53</c:f>
              <c:strCache>
                <c:ptCount val="12"/>
                <c:pt idx="0">
                  <c:v>March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'4'!$P$42:$P$53</c:f>
              <c:numCache>
                <c:formatCode>0.00%</c:formatCode>
                <c:ptCount val="12"/>
                <c:pt idx="0">
                  <c:v>-5.5273048861376184E-3</c:v>
                </c:pt>
                <c:pt idx="1">
                  <c:v>-4.331864904552174E-3</c:v>
                </c:pt>
                <c:pt idx="2">
                  <c:v>2.42329924410849E-2</c:v>
                </c:pt>
                <c:pt idx="3">
                  <c:v>1.9172627387360697E-2</c:v>
                </c:pt>
                <c:pt idx="4">
                  <c:v>3.9070978945083823E-3</c:v>
                </c:pt>
                <c:pt idx="5">
                  <c:v>8.6824397655742569E-3</c:v>
                </c:pt>
                <c:pt idx="6">
                  <c:v>9.2972972972973356E-3</c:v>
                </c:pt>
                <c:pt idx="7">
                  <c:v>1.0544437271357898E-2</c:v>
                </c:pt>
                <c:pt idx="8">
                  <c:v>1.2853470437018233E-2</c:v>
                </c:pt>
                <c:pt idx="9">
                  <c:v>6.5566835871402329E-3</c:v>
                </c:pt>
                <c:pt idx="10">
                  <c:v>-2.7250706499797994E-2</c:v>
                </c:pt>
                <c:pt idx="11">
                  <c:v>1.533935700777489E-2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CD-4767-96F6-7008A519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262128"/>
        <c:axId val="1994270288"/>
      </c:lineChart>
      <c:catAx>
        <c:axId val="199426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70288"/>
        <c:crosses val="autoZero"/>
        <c:auto val="1"/>
        <c:lblAlgn val="ctr"/>
        <c:lblOffset val="100"/>
        <c:noMultiLvlLbl val="0"/>
      </c:catAx>
      <c:valAx>
        <c:axId val="19942702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6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1</xdr:row>
      <xdr:rowOff>64770</xdr:rowOff>
    </xdr:from>
    <xdr:to>
      <xdr:col>10</xdr:col>
      <xdr:colOff>274320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7FB27-D8A9-AAD6-D144-26195B716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163830</xdr:rowOff>
    </xdr:from>
    <xdr:to>
      <xdr:col>9</xdr:col>
      <xdr:colOff>769620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76FFE-DEC0-278A-FD45-D1F5256BC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0</xdr:row>
      <xdr:rowOff>171450</xdr:rowOff>
    </xdr:from>
    <xdr:to>
      <xdr:col>29</xdr:col>
      <xdr:colOff>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B67C0-B0D3-AB37-024F-5298D86F6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19</xdr:row>
      <xdr:rowOff>0</xdr:rowOff>
    </xdr:from>
    <xdr:to>
      <xdr:col>26</xdr:col>
      <xdr:colOff>533400</xdr:colOff>
      <xdr:row>21</xdr:row>
      <xdr:rowOff>91440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58EE99D8-4F0B-137C-4329-12BB7907417E}"/>
            </a:ext>
          </a:extLst>
        </xdr:cNvPr>
        <xdr:cNvSpPr txBox="1">
          <a:spLocks noChangeArrowheads="1"/>
        </xdr:cNvSpPr>
      </xdr:nvSpPr>
      <xdr:spPr bwMode="auto">
        <a:xfrm>
          <a:off x="16482060" y="3474720"/>
          <a:ext cx="5334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94073</xdr:colOff>
      <xdr:row>0</xdr:row>
      <xdr:rowOff>150519</xdr:rowOff>
    </xdr:from>
    <xdr:to>
      <xdr:col>28</xdr:col>
      <xdr:colOff>404549</xdr:colOff>
      <xdr:row>36</xdr:row>
      <xdr:rowOff>65851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6809749-3450-A8FD-3E2C-3E57BDBDE76D}"/>
            </a:ext>
          </a:extLst>
        </xdr:cNvPr>
        <xdr:cNvGrpSpPr/>
      </xdr:nvGrpSpPr>
      <xdr:grpSpPr>
        <a:xfrm>
          <a:off x="94073" y="150519"/>
          <a:ext cx="17945333" cy="6446761"/>
          <a:chOff x="94073" y="150519"/>
          <a:chExt cx="17976435" cy="663337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7D50758-0168-861B-0E83-181AC4B54C0E}"/>
              </a:ext>
            </a:extLst>
          </xdr:cNvPr>
          <xdr:cNvGrpSpPr/>
        </xdr:nvGrpSpPr>
        <xdr:grpSpPr>
          <a:xfrm>
            <a:off x="94073" y="159926"/>
            <a:ext cx="8728537" cy="6623966"/>
            <a:chOff x="94073" y="159926"/>
            <a:chExt cx="8728537" cy="6623966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6CF78F44-E9CB-D250-B866-5C03A0CCC5A8}"/>
                </a:ext>
              </a:extLst>
            </xdr:cNvPr>
            <xdr:cNvGrpSpPr/>
          </xdr:nvGrpSpPr>
          <xdr:grpSpPr>
            <a:xfrm>
              <a:off x="94073" y="159926"/>
              <a:ext cx="8728537" cy="3199094"/>
              <a:chOff x="5860814" y="1712147"/>
              <a:chExt cx="8701851" cy="3057407"/>
            </a:xfrm>
          </xdr:grpSpPr>
          <xdr:sp macro="" textlink="">
            <xdr:nvSpPr>
              <xdr:cNvPr id="2" name="Rectangle: Rounded Corners 1">
                <a:extLst>
                  <a:ext uri="{FF2B5EF4-FFF2-40B4-BE49-F238E27FC236}">
                    <a16:creationId xmlns:a16="http://schemas.microsoft.com/office/drawing/2014/main" id="{05E974B5-7ED8-C562-404A-E7B052077658}"/>
                  </a:ext>
                </a:extLst>
              </xdr:cNvPr>
              <xdr:cNvSpPr/>
            </xdr:nvSpPr>
            <xdr:spPr>
              <a:xfrm>
                <a:off x="5860814" y="1712147"/>
                <a:ext cx="8701851" cy="3057407"/>
              </a:xfrm>
              <a:prstGeom prst="round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pic>
            <xdr:nvPicPr>
              <xdr:cNvPr id="12" name="Picture 11">
                <a:extLst>
                  <a:ext uri="{FF2B5EF4-FFF2-40B4-BE49-F238E27FC236}">
                    <a16:creationId xmlns:a16="http://schemas.microsoft.com/office/drawing/2014/main" id="{0279D8F4-6959-911F-1C50-2E3D4B2F5DF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309380" y="1994370"/>
                <a:ext cx="3839758" cy="2577631"/>
              </a:xfrm>
              <a:prstGeom prst="rect">
                <a:avLst/>
              </a:prstGeom>
            </xdr:spPr>
          </xdr:pic>
          <xdr:sp macro="" textlink="">
            <xdr:nvSpPr>
              <xdr:cNvPr id="13" name="Rectangle: Rounded Corners 12">
                <a:extLst>
                  <a:ext uri="{FF2B5EF4-FFF2-40B4-BE49-F238E27FC236}">
                    <a16:creationId xmlns:a16="http://schemas.microsoft.com/office/drawing/2014/main" id="{E5AE76E3-895B-E286-2D16-C532CA05501B}"/>
                  </a:ext>
                </a:extLst>
              </xdr:cNvPr>
              <xdr:cNvSpPr/>
            </xdr:nvSpPr>
            <xdr:spPr>
              <a:xfrm>
                <a:off x="6227703" y="1947334"/>
                <a:ext cx="3969928" cy="536221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Food inflation builds gradually but accelerates late, indicating supply tightening or demand buildup.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7" name="Rectangle: Rounded Corners 16">
                <a:extLst>
                  <a:ext uri="{FF2B5EF4-FFF2-40B4-BE49-F238E27FC236}">
                    <a16:creationId xmlns:a16="http://schemas.microsoft.com/office/drawing/2014/main" id="{9D700224-1827-49A5-A117-065ACEE72FCC}"/>
                  </a:ext>
                </a:extLst>
              </xdr:cNvPr>
              <xdr:cNvSpPr/>
            </xdr:nvSpPr>
            <xdr:spPr>
              <a:xfrm>
                <a:off x="6227703" y="2613378"/>
                <a:ext cx="3954875" cy="558801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Possible </a:t>
                </a:r>
                <a:r>
                  <a:rPr lang="en-IN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supply correction (harvest arrival)</a:t>
                </a:r>
                <a:r>
                  <a:rPr lang="en-IN" sz="1200">
                    <a:solidFill>
                      <a:sysClr val="windowText" lastClr="000000"/>
                    </a:solidFill>
                    <a:effectLst/>
                  </a:rPr>
                  <a:t>  and demand normalize after peak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8" name="Rectangle: Rounded Corners 17">
                <a:extLst>
                  <a:ext uri="{FF2B5EF4-FFF2-40B4-BE49-F238E27FC236}">
                    <a16:creationId xmlns:a16="http://schemas.microsoft.com/office/drawing/2014/main" id="{3D798637-9BB7-434D-9F57-4200B88F55AE}"/>
                  </a:ext>
                </a:extLst>
              </xdr:cNvPr>
              <xdr:cNvSpPr/>
            </xdr:nvSpPr>
            <xdr:spPr>
              <a:xfrm>
                <a:off x="6227703" y="3302002"/>
                <a:ext cx="3962400" cy="547511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Food is the </a:t>
                </a:r>
                <a:r>
                  <a:rPr lang="en-IN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most unstable CPI component</a:t>
                </a:r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, making headline inflation unpredictable.</a:t>
                </a:r>
                <a:r>
                  <a:rPr lang="en-IN" sz="1200">
                    <a:solidFill>
                      <a:sysClr val="windowText" lastClr="000000"/>
                    </a:solidFill>
                    <a:effectLst/>
                  </a:rPr>
                  <a:t> 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9" name="Rectangle: Rounded Corners 18">
                <a:extLst>
                  <a:ext uri="{FF2B5EF4-FFF2-40B4-BE49-F238E27FC236}">
                    <a16:creationId xmlns:a16="http://schemas.microsoft.com/office/drawing/2014/main" id="{C02DBE2F-2954-4789-A971-F1608F881531}"/>
                  </a:ext>
                </a:extLst>
              </xdr:cNvPr>
              <xdr:cNvSpPr/>
            </xdr:nvSpPr>
            <xdr:spPr>
              <a:xfrm>
                <a:off x="6227703" y="3979335"/>
                <a:ext cx="3951112" cy="564443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Initial price changes are </a:t>
                </a:r>
                <a:r>
                  <a:rPr lang="en-IN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mild</a:t>
                </a:r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, but once inflation sets in, it </a:t>
                </a:r>
                <a:r>
                  <a:rPr lang="en-IN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accelerates sharply</a:t>
                </a:r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 → nonlinear behavior.</a:t>
                </a:r>
                <a:r>
                  <a:rPr lang="en-IN" sz="1200">
                    <a:solidFill>
                      <a:sysClr val="windowText" lastClr="000000"/>
                    </a:solidFill>
                    <a:effectLst/>
                  </a:rPr>
                  <a:t> 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</xdr:grpSp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83E43574-2BB7-7526-94FF-526DDEFA92CD}"/>
                </a:ext>
              </a:extLst>
            </xdr:cNvPr>
            <xdr:cNvGrpSpPr/>
          </xdr:nvGrpSpPr>
          <xdr:grpSpPr>
            <a:xfrm>
              <a:off x="94073" y="3592670"/>
              <a:ext cx="8728537" cy="3191222"/>
              <a:chOff x="122295" y="3453625"/>
              <a:chExt cx="8721219" cy="3066814"/>
            </a:xfrm>
          </xdr:grpSpPr>
          <xdr:grpSp>
            <xdr:nvGrpSpPr>
              <xdr:cNvPr id="23" name="Group 22">
                <a:extLst>
                  <a:ext uri="{FF2B5EF4-FFF2-40B4-BE49-F238E27FC236}">
                    <a16:creationId xmlns:a16="http://schemas.microsoft.com/office/drawing/2014/main" id="{BDA3932E-316F-76C5-076C-99E05D8B5B3B}"/>
                  </a:ext>
                </a:extLst>
              </xdr:cNvPr>
              <xdr:cNvGrpSpPr/>
            </xdr:nvGrpSpPr>
            <xdr:grpSpPr>
              <a:xfrm>
                <a:off x="122295" y="3453625"/>
                <a:ext cx="8721219" cy="3066814"/>
                <a:chOff x="5860814" y="1712147"/>
                <a:chExt cx="8701851" cy="3057407"/>
              </a:xfrm>
            </xdr:grpSpPr>
            <xdr:sp macro="" textlink="">
              <xdr:nvSpPr>
                <xdr:cNvPr id="24" name="Rectangle: Rounded Corners 23">
                  <a:extLst>
                    <a:ext uri="{FF2B5EF4-FFF2-40B4-BE49-F238E27FC236}">
                      <a16:creationId xmlns:a16="http://schemas.microsoft.com/office/drawing/2014/main" id="{518C0BDD-CBF5-8A6D-431D-138091931507}"/>
                    </a:ext>
                  </a:extLst>
                </xdr:cNvPr>
                <xdr:cNvSpPr/>
              </xdr:nvSpPr>
              <xdr:spPr>
                <a:xfrm>
                  <a:off x="5860814" y="1712147"/>
                  <a:ext cx="8701851" cy="3057407"/>
                </a:xfrm>
                <a:prstGeom prst="roundRect">
                  <a:avLst/>
                </a:prstGeom>
                <a:solidFill>
                  <a:schemeClr val="accent2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pic>
              <xdr:nvPicPr>
                <xdr:cNvPr id="25" name="Picture 24">
                  <a:extLst>
                    <a:ext uri="{FF2B5EF4-FFF2-40B4-BE49-F238E27FC236}">
                      <a16:creationId xmlns:a16="http://schemas.microsoft.com/office/drawing/2014/main" id="{8C5824B6-99FB-15DD-1A28-35E205603A5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10309380" y="1994370"/>
                  <a:ext cx="3839758" cy="257763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6" name="Rectangle: Rounded Corners 25">
                  <a:extLst>
                    <a:ext uri="{FF2B5EF4-FFF2-40B4-BE49-F238E27FC236}">
                      <a16:creationId xmlns:a16="http://schemas.microsoft.com/office/drawing/2014/main" id="{4923349C-39C1-48CB-5410-F00B958A2605}"/>
                    </a:ext>
                  </a:extLst>
                </xdr:cNvPr>
                <xdr:cNvSpPr/>
              </xdr:nvSpPr>
              <xdr:spPr>
                <a:xfrm>
                  <a:off x="6227703" y="1947334"/>
                  <a:ext cx="3969928" cy="536221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r>
                    <a:rPr lang="en-IN" sz="1200">
                      <a:solidFill>
                        <a:sysClr val="windowText" lastClr="000000"/>
                      </a:solidFill>
                    </a:rPr>
                    <a:t>Energy inflation </a:t>
                  </a:r>
                  <a:r>
                    <a:rPr lang="en-IN" sz="1200" b="1">
                      <a:solidFill>
                        <a:sysClr val="windowText" lastClr="000000"/>
                      </a:solidFill>
                    </a:rPr>
                    <a:t>does not spike early</a:t>
                  </a:r>
                  <a:r>
                    <a:rPr lang="en-IN" sz="1200">
                      <a:solidFill>
                        <a:sysClr val="windowText" lastClr="000000"/>
                      </a:solidFill>
                    </a:rPr>
                    <a:t>—it builds gradually, reflecting</a:t>
                  </a:r>
                  <a:r>
                    <a:rPr lang="en-IN" sz="1200" baseline="0">
                      <a:solidFill>
                        <a:sysClr val="windowText" lastClr="000000"/>
                      </a:solidFill>
                    </a:rPr>
                    <a:t> </a:t>
                  </a:r>
                  <a:r>
                    <a:rPr lang="en-IN" sz="1200" b="1" baseline="0">
                      <a:solidFill>
                        <a:sysClr val="windowText" lastClr="000000"/>
                      </a:solidFill>
                    </a:rPr>
                    <a:t>d</a:t>
                  </a:r>
                  <a:r>
                    <a:rPr lang="en-IN" sz="1200" b="1">
                      <a:solidFill>
                        <a:sysClr val="windowText" lastClr="000000"/>
                      </a:solidFill>
                    </a:rPr>
                    <a:t>elayed pricing adjustments</a:t>
                  </a:r>
                </a:p>
              </xdr:txBody>
            </xdr:sp>
            <xdr:sp macro="" textlink="">
              <xdr:nvSpPr>
                <xdr:cNvPr id="27" name="Rectangle: Rounded Corners 26">
                  <a:extLst>
                    <a:ext uri="{FF2B5EF4-FFF2-40B4-BE49-F238E27FC236}">
                      <a16:creationId xmlns:a16="http://schemas.microsoft.com/office/drawing/2014/main" id="{8A33EB1D-3841-87C4-3338-611833B714CB}"/>
                    </a:ext>
                  </a:extLst>
                </xdr:cNvPr>
                <xdr:cNvSpPr/>
              </xdr:nvSpPr>
              <xdr:spPr>
                <a:xfrm>
                  <a:off x="6227703" y="2613378"/>
                  <a:ext cx="3954875" cy="558801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The </a:t>
                  </a:r>
                  <a:r>
                    <a:rPr lang="en-IN" sz="11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turning point </a:t>
                  </a:r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around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August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is </a:t>
                  </a:r>
                  <a:r>
                    <a:rPr lang="en-IN" sz="1200">
                      <a:solidFill>
                        <a:sysClr val="windowText" lastClr="000000"/>
                      </a:solidFill>
                    </a:rPr>
                    <a:t>linked to </a:t>
                  </a:r>
                  <a:r>
                    <a:rPr lang="en-IN" sz="1200" b="1">
                      <a:solidFill>
                        <a:sysClr val="windowText" lastClr="000000"/>
                      </a:solidFill>
                    </a:rPr>
                    <a:t>global oil price </a:t>
                  </a:r>
                  <a:r>
                    <a:rPr lang="en-IN" sz="1200">
                      <a:solidFill>
                        <a:sysClr val="windowText" lastClr="000000"/>
                      </a:solidFill>
                    </a:rPr>
                    <a:t>recovery or policy changes</a:t>
                  </a:r>
                  <a:endParaRPr lang="en-IN" sz="12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28" name="Rectangle: Rounded Corners 27">
                  <a:extLst>
                    <a:ext uri="{FF2B5EF4-FFF2-40B4-BE49-F238E27FC236}">
                      <a16:creationId xmlns:a16="http://schemas.microsoft.com/office/drawing/2014/main" id="{6E717211-EB3D-53ED-054E-CCC44EB3FCB3}"/>
                    </a:ext>
                  </a:extLst>
                </xdr:cNvPr>
                <xdr:cNvSpPr/>
              </xdr:nvSpPr>
              <xdr:spPr>
                <a:xfrm>
                  <a:off x="6227703" y="3302002"/>
                  <a:ext cx="3962400" cy="547511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IN" sz="11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Extreme Volatile shock</a:t>
                  </a:r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is witnessed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from 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Feb-March 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indication 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external shock likely from global market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.</a:t>
                  </a:r>
                  <a:r>
                    <a:rPr lang="en-IN" sz="1200" b="1">
                      <a:solidFill>
                        <a:sysClr val="windowText" lastClr="000000"/>
                      </a:solidFill>
                      <a:effectLst/>
                    </a:rPr>
                    <a:t> </a:t>
                  </a:r>
                  <a:endParaRPr lang="en-IN" sz="12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29" name="Rectangle: Rounded Corners 28">
                  <a:extLst>
                    <a:ext uri="{FF2B5EF4-FFF2-40B4-BE49-F238E27FC236}">
                      <a16:creationId xmlns:a16="http://schemas.microsoft.com/office/drawing/2014/main" id="{0504F2CC-F5A2-21D0-23B4-D42DA014547C}"/>
                    </a:ext>
                  </a:extLst>
                </xdr:cNvPr>
                <xdr:cNvSpPr/>
              </xdr:nvSpPr>
              <xdr:spPr>
                <a:xfrm>
                  <a:off x="6227703" y="3979335"/>
                  <a:ext cx="3951112" cy="564443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In </a:t>
                  </a:r>
                  <a:r>
                    <a:rPr lang="en-IN" sz="11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second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round 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food shock fades and  and 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energy volatilation spreads across the economy</a:t>
                  </a:r>
                  <a:r>
                    <a:rPr lang="en-IN" sz="12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.</a:t>
                  </a:r>
                  <a:r>
                    <a:rPr lang="en-IN" sz="1200" b="1">
                      <a:solidFill>
                        <a:sysClr val="windowText" lastClr="000000"/>
                      </a:solidFill>
                      <a:effectLst/>
                    </a:rPr>
                    <a:t> </a:t>
                  </a:r>
                  <a:endParaRPr lang="en-IN" sz="1200" b="1">
                    <a:solidFill>
                      <a:sysClr val="windowText" lastClr="000000"/>
                    </a:solidFill>
                  </a:endParaRPr>
                </a:p>
              </xdr:txBody>
            </xdr:sp>
          </xdr:grpSp>
          <xdr:pic>
            <xdr:nvPicPr>
              <xdr:cNvPr id="38" name="Picture 37">
                <a:extLst>
                  <a:ext uri="{FF2B5EF4-FFF2-40B4-BE49-F238E27FC236}">
                    <a16:creationId xmlns:a16="http://schemas.microsoft.com/office/drawing/2014/main" id="{C49C9833-5904-EC03-57AD-2ECF2C9C9D7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4562037" y="3736401"/>
                <a:ext cx="3865340" cy="2567115"/>
              </a:xfrm>
              <a:prstGeom prst="rect">
                <a:avLst/>
              </a:prstGeom>
            </xdr:spPr>
          </xdr:pic>
        </xdr:grp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36CD30C-5FF0-7EBF-1F78-B7510075E269}"/>
              </a:ext>
            </a:extLst>
          </xdr:cNvPr>
          <xdr:cNvGrpSpPr/>
        </xdr:nvGrpSpPr>
        <xdr:grpSpPr>
          <a:xfrm>
            <a:off x="9428691" y="150519"/>
            <a:ext cx="8641817" cy="6632372"/>
            <a:chOff x="9428691" y="150519"/>
            <a:chExt cx="8641817" cy="6632372"/>
          </a:xfrm>
        </xdr:grpSpPr>
        <xdr:grpSp>
          <xdr:nvGrpSpPr>
            <xdr:cNvPr id="39" name="Group 38">
              <a:extLst>
                <a:ext uri="{FF2B5EF4-FFF2-40B4-BE49-F238E27FC236}">
                  <a16:creationId xmlns:a16="http://schemas.microsoft.com/office/drawing/2014/main" id="{B05967B7-32E3-9CB7-3F2E-5C499463219D}"/>
                </a:ext>
              </a:extLst>
            </xdr:cNvPr>
            <xdr:cNvGrpSpPr/>
          </xdr:nvGrpSpPr>
          <xdr:grpSpPr>
            <a:xfrm>
              <a:off x="9433616" y="150519"/>
              <a:ext cx="8631967" cy="3191222"/>
              <a:chOff x="9211510" y="150519"/>
              <a:chExt cx="8717346" cy="3066814"/>
            </a:xfrm>
          </xdr:grpSpPr>
          <xdr:grpSp>
            <xdr:nvGrpSpPr>
              <xdr:cNvPr id="30" name="Group 29">
                <a:extLst>
                  <a:ext uri="{FF2B5EF4-FFF2-40B4-BE49-F238E27FC236}">
                    <a16:creationId xmlns:a16="http://schemas.microsoft.com/office/drawing/2014/main" id="{7BD18D4E-84E5-95F7-C0E9-D2029349ED2F}"/>
                  </a:ext>
                </a:extLst>
              </xdr:cNvPr>
              <xdr:cNvGrpSpPr/>
            </xdr:nvGrpSpPr>
            <xdr:grpSpPr>
              <a:xfrm>
                <a:off x="9211510" y="150519"/>
                <a:ext cx="8717346" cy="3066814"/>
                <a:chOff x="5860814" y="1712147"/>
                <a:chExt cx="8701851" cy="3057407"/>
              </a:xfrm>
            </xdr:grpSpPr>
            <xdr:sp macro="" textlink="">
              <xdr:nvSpPr>
                <xdr:cNvPr id="31" name="Rectangle: Rounded Corners 30">
                  <a:extLst>
                    <a:ext uri="{FF2B5EF4-FFF2-40B4-BE49-F238E27FC236}">
                      <a16:creationId xmlns:a16="http://schemas.microsoft.com/office/drawing/2014/main" id="{FEBB5FE8-03A9-8A89-2120-423FD54D82A7}"/>
                    </a:ext>
                  </a:extLst>
                </xdr:cNvPr>
                <xdr:cNvSpPr/>
              </xdr:nvSpPr>
              <xdr:spPr>
                <a:xfrm>
                  <a:off x="5860814" y="1712147"/>
                  <a:ext cx="8701851" cy="3057407"/>
                </a:xfrm>
                <a:prstGeom prst="roundRect">
                  <a:avLst/>
                </a:prstGeom>
                <a:solidFill>
                  <a:schemeClr val="accent2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pic>
              <xdr:nvPicPr>
                <xdr:cNvPr id="32" name="Picture 31">
                  <a:extLst>
                    <a:ext uri="{FF2B5EF4-FFF2-40B4-BE49-F238E27FC236}">
                      <a16:creationId xmlns:a16="http://schemas.microsoft.com/office/drawing/2014/main" id="{F36555FF-9D89-93C8-3DB7-81D0E19BFF8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10309380" y="1994370"/>
                  <a:ext cx="3839758" cy="257763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3" name="Rectangle: Rounded Corners 32">
                  <a:extLst>
                    <a:ext uri="{FF2B5EF4-FFF2-40B4-BE49-F238E27FC236}">
                      <a16:creationId xmlns:a16="http://schemas.microsoft.com/office/drawing/2014/main" id="{4E20C1BB-1A70-303C-7B1A-C9D18663EB5F}"/>
                    </a:ext>
                  </a:extLst>
                </xdr:cNvPr>
                <xdr:cNvSpPr/>
              </xdr:nvSpPr>
              <xdr:spPr>
                <a:xfrm>
                  <a:off x="6227703" y="1947334"/>
                  <a:ext cx="3969928" cy="536221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r>
                    <a:rPr lang="en-IN" sz="1200">
                      <a:solidFill>
                        <a:sysClr val="windowText" lastClr="000000"/>
                      </a:solidFill>
                    </a:rPr>
                    <a:t>Transport inflation is </a:t>
                  </a:r>
                  <a:r>
                    <a:rPr lang="en-IN" sz="1200" b="1">
                      <a:solidFill>
                        <a:sysClr val="windowText" lastClr="000000"/>
                      </a:solidFill>
                    </a:rPr>
                    <a:t>not gradual—it spikes quickly</a:t>
                  </a:r>
                  <a:r>
                    <a:rPr lang="en-IN" sz="1200">
                      <a:solidFill>
                        <a:sysClr val="windowText" lastClr="000000"/>
                      </a:solidFill>
                    </a:rPr>
                    <a:t>, likely due to</a:t>
                  </a:r>
                  <a:r>
                    <a:rPr lang="en-IN" sz="1200" baseline="0">
                      <a:solidFill>
                        <a:sysClr val="windowText" lastClr="000000"/>
                      </a:solidFill>
                    </a:rPr>
                    <a:t> </a:t>
                  </a:r>
                  <a:r>
                    <a:rPr lang="en-IN" sz="1200">
                      <a:solidFill>
                        <a:sysClr val="windowText" lastClr="000000"/>
                      </a:solidFill>
                    </a:rPr>
                    <a:t>Fuel price changes and Logistics cost adjustments.</a:t>
                  </a:r>
                  <a:endParaRPr lang="en-IN" sz="12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34" name="Rectangle: Rounded Corners 33">
                  <a:extLst>
                    <a:ext uri="{FF2B5EF4-FFF2-40B4-BE49-F238E27FC236}">
                      <a16:creationId xmlns:a16="http://schemas.microsoft.com/office/drawing/2014/main" id="{731B3E2A-BEBD-6944-014E-58B435A6CE9F}"/>
                    </a:ext>
                  </a:extLst>
                </xdr:cNvPr>
                <xdr:cNvSpPr/>
              </xdr:nvSpPr>
              <xdr:spPr>
                <a:xfrm>
                  <a:off x="6227703" y="2613378"/>
                  <a:ext cx="3954875" cy="558801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IN" sz="11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Decembe</a:t>
                  </a:r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 spikes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in Onset phase indicating </a:t>
                  </a:r>
                  <a:r>
                    <a:rPr lang="en-IN" sz="1200" b="1">
                      <a:solidFill>
                        <a:sysClr val="windowText" lastClr="000000"/>
                      </a:solidFill>
                    </a:rPr>
                    <a:t>lag structure in inflation transmission</a:t>
                  </a:r>
                  <a:r>
                    <a:rPr lang="en-IN" sz="12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.</a:t>
                  </a:r>
                  <a:r>
                    <a:rPr lang="en-IN" sz="1200" b="1">
                      <a:solidFill>
                        <a:sysClr val="windowText" lastClr="000000"/>
                      </a:solidFill>
                      <a:effectLst/>
                    </a:rPr>
                    <a:t> </a:t>
                  </a:r>
                  <a:endParaRPr lang="en-IN" sz="12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35" name="Rectangle: Rounded Corners 34">
                  <a:extLst>
                    <a:ext uri="{FF2B5EF4-FFF2-40B4-BE49-F238E27FC236}">
                      <a16:creationId xmlns:a16="http://schemas.microsoft.com/office/drawing/2014/main" id="{41A8F896-F1DD-7493-5DAD-82EE8B90FE8A}"/>
                    </a:ext>
                  </a:extLst>
                </xdr:cNvPr>
                <xdr:cNvSpPr/>
              </xdr:nvSpPr>
              <xdr:spPr>
                <a:xfrm>
                  <a:off x="6227703" y="3302002"/>
                  <a:ext cx="3962400" cy="547511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Then </a:t>
                  </a:r>
                  <a:r>
                    <a:rPr lang="en-IN" sz="1100" b="1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sharp collapse </a:t>
                  </a:r>
                  <a:r>
                    <a:rPr lang="en-IN" sz="1100" b="0" i="0" u="none" strike="noStrik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in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February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(~3.5%) likely due 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to price correction</a:t>
                  </a:r>
                  <a:r>
                    <a:rPr lang="en-IN" sz="1100" b="0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which confirms</a:t>
                  </a:r>
                  <a:r>
                    <a:rPr lang="en-IN" sz="1100" b="1" i="0" u="none" strike="noStrik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cynical and sensitive shock</a:t>
                  </a:r>
                  <a:endParaRPr lang="en-IN" sz="1200" b="1">
                    <a:solidFill>
                      <a:sysClr val="windowText" lastClr="000000"/>
                    </a:solidFill>
                  </a:endParaRPr>
                </a:p>
              </xdr:txBody>
            </xdr:sp>
            <xdr:sp macro="" textlink="">
              <xdr:nvSpPr>
                <xdr:cNvPr id="36" name="Rectangle: Rounded Corners 35">
                  <a:extLst>
                    <a:ext uri="{FF2B5EF4-FFF2-40B4-BE49-F238E27FC236}">
                      <a16:creationId xmlns:a16="http://schemas.microsoft.com/office/drawing/2014/main" id="{2CB945C9-B564-FD95-A859-94C1BC001564}"/>
                    </a:ext>
                  </a:extLst>
                </xdr:cNvPr>
                <xdr:cNvSpPr/>
              </xdr:nvSpPr>
              <xdr:spPr>
                <a:xfrm>
                  <a:off x="6227703" y="3979335"/>
                  <a:ext cx="3951112" cy="564443"/>
                </a:xfrm>
                <a:prstGeom prst="roundRect">
                  <a:avLst/>
                </a:prstGeom>
                <a:solidFill>
                  <a:srgbClr val="F4DDF5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IN">
                      <a:solidFill>
                        <a:sysClr val="windowText" lastClr="000000"/>
                      </a:solidFill>
                    </a:rPr>
                    <a:t>Violent Rebound in March (~ +3%), </a:t>
                  </a:r>
                  <a:r>
                    <a:rPr lang="en-IN" sz="1200">
                      <a:solidFill>
                        <a:sysClr val="windowText" lastClr="000000"/>
                      </a:solidFill>
                    </a:rPr>
                    <a:t>Indicates </a:t>
                  </a:r>
                  <a:r>
                    <a:rPr lang="en-IN" sz="1200" b="1">
                      <a:solidFill>
                        <a:sysClr val="windowText" lastClr="000000"/>
                      </a:solidFill>
                    </a:rPr>
                    <a:t>renewed cost pressures</a:t>
                  </a:r>
                </a:p>
              </xdr:txBody>
            </xdr:sp>
          </xdr:grpSp>
          <xdr:pic>
            <xdr:nvPicPr>
              <xdr:cNvPr id="37" name="Picture 36">
                <a:extLst>
                  <a:ext uri="{FF2B5EF4-FFF2-40B4-BE49-F238E27FC236}">
                    <a16:creationId xmlns:a16="http://schemas.microsoft.com/office/drawing/2014/main" id="{9F13A866-756C-71A1-10E0-4C33BE3DB36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659555" y="433849"/>
                <a:ext cx="3854270" cy="2575969"/>
              </a:xfrm>
              <a:prstGeom prst="rect">
                <a:avLst/>
              </a:prstGeom>
            </xdr:spPr>
          </xdr:pic>
        </xdr:grp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83936F2C-124E-21A7-42E8-91FA77FEB13B}"/>
                </a:ext>
              </a:extLst>
            </xdr:cNvPr>
            <xdr:cNvGrpSpPr/>
          </xdr:nvGrpSpPr>
          <xdr:grpSpPr>
            <a:xfrm>
              <a:off x="9428691" y="3591114"/>
              <a:ext cx="8641817" cy="3191777"/>
              <a:chOff x="5860814" y="1712147"/>
              <a:chExt cx="8701851" cy="3057407"/>
            </a:xfrm>
          </xdr:grpSpPr>
          <xdr:sp macro="" textlink="">
            <xdr:nvSpPr>
              <xdr:cNvPr id="43" name="Rectangle: Rounded Corners 42">
                <a:extLst>
                  <a:ext uri="{FF2B5EF4-FFF2-40B4-BE49-F238E27FC236}">
                    <a16:creationId xmlns:a16="http://schemas.microsoft.com/office/drawing/2014/main" id="{27926984-FAD9-6628-DE91-24A2E8FE2F26}"/>
                  </a:ext>
                </a:extLst>
              </xdr:cNvPr>
              <xdr:cNvSpPr/>
            </xdr:nvSpPr>
            <xdr:spPr>
              <a:xfrm>
                <a:off x="5860814" y="1712147"/>
                <a:ext cx="8701851" cy="3057407"/>
              </a:xfrm>
              <a:prstGeom prst="round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pic>
            <xdr:nvPicPr>
              <xdr:cNvPr id="44" name="Picture 43">
                <a:extLst>
                  <a:ext uri="{FF2B5EF4-FFF2-40B4-BE49-F238E27FC236}">
                    <a16:creationId xmlns:a16="http://schemas.microsoft.com/office/drawing/2014/main" id="{4CD744E6-C122-5F78-0A3B-07922482FB9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309380" y="1994370"/>
                <a:ext cx="3839758" cy="2577631"/>
              </a:xfrm>
              <a:prstGeom prst="rect">
                <a:avLst/>
              </a:prstGeom>
            </xdr:spPr>
          </xdr:pic>
          <xdr:sp macro="" textlink="">
            <xdr:nvSpPr>
              <xdr:cNvPr id="45" name="Rectangle: Rounded Corners 44">
                <a:extLst>
                  <a:ext uri="{FF2B5EF4-FFF2-40B4-BE49-F238E27FC236}">
                    <a16:creationId xmlns:a16="http://schemas.microsoft.com/office/drawing/2014/main" id="{8424A03F-1E22-B416-1862-965E3C508402}"/>
                  </a:ext>
                </a:extLst>
              </xdr:cNvPr>
              <xdr:cNvSpPr/>
            </xdr:nvSpPr>
            <xdr:spPr>
              <a:xfrm>
                <a:off x="6227703" y="1947334"/>
                <a:ext cx="3969928" cy="536221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200" b="1">
                    <a:solidFill>
                      <a:sysClr val="windowText" lastClr="000000"/>
                    </a:solidFill>
                  </a:rPr>
                  <a:t>Healthcare confirms that underlying (core) inflation is stable and resilient—even when headline CPI is volatile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6" name="Rectangle: Rounded Corners 45">
                <a:extLst>
                  <a:ext uri="{FF2B5EF4-FFF2-40B4-BE49-F238E27FC236}">
                    <a16:creationId xmlns:a16="http://schemas.microsoft.com/office/drawing/2014/main" id="{B7561EA8-E242-8F22-438A-951A15A48C0E}"/>
                  </a:ext>
                </a:extLst>
              </xdr:cNvPr>
              <xdr:cNvSpPr/>
            </xdr:nvSpPr>
            <xdr:spPr>
              <a:xfrm>
                <a:off x="6227703" y="2613378"/>
                <a:ext cx="3954875" cy="558801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Systematic shock alligned in February</a:t>
                </a:r>
                <a:r>
                  <a:rPr lang="en-IN" sz="1100" b="0" i="0" u="none" strike="noStrike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with economy wide inflation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7" name="Rectangle: Rounded Corners 46">
                <a:extLst>
                  <a:ext uri="{FF2B5EF4-FFF2-40B4-BE49-F238E27FC236}">
                    <a16:creationId xmlns:a16="http://schemas.microsoft.com/office/drawing/2014/main" id="{1EC85F75-BF9E-565A-5057-902B928ED108}"/>
                  </a:ext>
                </a:extLst>
              </xdr:cNvPr>
              <xdr:cNvSpPr/>
            </xdr:nvSpPr>
            <xdr:spPr>
              <a:xfrm>
                <a:off x="6227703" y="3302002"/>
                <a:ext cx="3962400" cy="547511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>
                    <a:solidFill>
                      <a:sysClr val="windowText" lastClr="000000"/>
                    </a:solidFill>
                  </a:rPr>
                  <a:t>nflation in healthcare occurs via </a:t>
                </a:r>
                <a:r>
                  <a:rPr lang="en-IN" b="1">
                    <a:solidFill>
                      <a:sysClr val="windowText" lastClr="000000"/>
                    </a:solidFill>
                  </a:rPr>
                  <a:t>periodic revisions</a:t>
                </a:r>
                <a:r>
                  <a:rPr lang="en-IN">
                    <a:solidFill>
                      <a:sysClr val="windowText" lastClr="000000"/>
                    </a:solidFill>
                  </a:rPr>
                  <a:t>, not continuous pressure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48" name="Rectangle: Rounded Corners 47">
                <a:extLst>
                  <a:ext uri="{FF2B5EF4-FFF2-40B4-BE49-F238E27FC236}">
                    <a16:creationId xmlns:a16="http://schemas.microsoft.com/office/drawing/2014/main" id="{6F4E6495-122B-07E5-DEDD-50B441954F4B}"/>
                  </a:ext>
                </a:extLst>
              </xdr:cNvPr>
              <xdr:cNvSpPr/>
            </xdr:nvSpPr>
            <xdr:spPr>
              <a:xfrm>
                <a:off x="6227703" y="3979335"/>
                <a:ext cx="3951112" cy="564443"/>
              </a:xfrm>
              <a:prstGeom prst="roundRect">
                <a:avLst/>
              </a:prstGeom>
              <a:solidFill>
                <a:srgbClr val="F4DDF5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IN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Healthcare</a:t>
                </a:r>
                <a:r>
                  <a:rPr lang="en-IN" sz="1100" b="0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 is the</a:t>
                </a:r>
                <a:r>
                  <a:rPr lang="en-IN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 CORE STABLIZER</a:t>
                </a:r>
                <a:r>
                  <a:rPr lang="en-IN" sz="12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.</a:t>
                </a:r>
                <a:r>
                  <a:rPr lang="en-IN" sz="1200" b="1">
                    <a:solidFill>
                      <a:sysClr val="windowText" lastClr="000000"/>
                    </a:solidFill>
                    <a:effectLst/>
                  </a:rPr>
                  <a:t> </a:t>
                </a:r>
                <a:endParaRPr lang="en-IN" sz="1200" b="1">
                  <a:solidFill>
                    <a:sysClr val="windowText" lastClr="000000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21</xdr:col>
      <xdr:colOff>401782</xdr:colOff>
      <xdr:row>20</xdr:row>
      <xdr:rowOff>163049</xdr:rowOff>
    </xdr:from>
    <xdr:to>
      <xdr:col>27</xdr:col>
      <xdr:colOff>577806</xdr:colOff>
      <xdr:row>35</xdr:row>
      <xdr:rowOff>13855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9401F243-B376-4B50-A750-7503781ED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440690</xdr:colOff>
      <xdr:row>12</xdr:row>
      <xdr:rowOff>30436</xdr:rowOff>
    </xdr:from>
    <xdr:to>
      <xdr:col>25</xdr:col>
      <xdr:colOff>568961</xdr:colOff>
      <xdr:row>20</xdr:row>
      <xdr:rowOff>55289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F80E30B-25BF-CE08-CF85-9358A6FDD294}"/>
            </a:ext>
          </a:extLst>
        </xdr:cNvPr>
        <xdr:cNvSpPr/>
      </xdr:nvSpPr>
      <xdr:spPr>
        <a:xfrm>
          <a:off x="9165590" y="2202136"/>
          <a:ext cx="7443471" cy="1472653"/>
        </a:xfrm>
        <a:prstGeom prst="roundRect">
          <a:avLst/>
        </a:prstGeom>
        <a:solidFill>
          <a:srgbClr val="CC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495299</xdr:colOff>
      <xdr:row>12</xdr:row>
      <xdr:rowOff>140803</xdr:rowOff>
    </xdr:from>
    <xdr:to>
      <xdr:col>25</xdr:col>
      <xdr:colOff>333374</xdr:colOff>
      <xdr:row>19</xdr:row>
      <xdr:rowOff>133350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7A9628A0-C0A4-BAF2-A2A1-85D153E18A1D}"/>
            </a:ext>
          </a:extLst>
        </xdr:cNvPr>
        <xdr:cNvSpPr txBox="1">
          <a:spLocks noChangeArrowheads="1"/>
        </xdr:cNvSpPr>
      </xdr:nvSpPr>
      <xdr:spPr bwMode="auto">
        <a:xfrm>
          <a:off x="11048999" y="2312503"/>
          <a:ext cx="5324475" cy="12593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1. Oil drives systemic inflation, not just energy</a:t>
          </a:r>
        </a:p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2. Transport acts as transmission layer</a:t>
          </a:r>
        </a:p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3. Core goods (Others) are highly sensitive to oil</a:t>
          </a:r>
        </a:p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4. Food is decoupled from oil → separate risk</a:t>
          </a:r>
        </a:p>
        <a:p>
          <a:pPr algn="l" rtl="0">
            <a:defRPr sz="1000"/>
          </a:pPr>
          <a:r>
            <a:rPr lang="en-IN" sz="15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5. Services show second-round effects</a:t>
          </a:r>
        </a:p>
      </xdr:txBody>
    </xdr:sp>
    <xdr:clientData/>
  </xdr:twoCellAnchor>
  <xdr:twoCellAnchor>
    <xdr:from>
      <xdr:col>13</xdr:col>
      <xdr:colOff>438150</xdr:colOff>
      <xdr:row>12</xdr:row>
      <xdr:rowOff>42861</xdr:rowOff>
    </xdr:from>
    <xdr:to>
      <xdr:col>16</xdr:col>
      <xdr:colOff>171450</xdr:colOff>
      <xdr:row>20</xdr:row>
      <xdr:rowOff>66674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0B44F90-F153-0B05-D93D-B6732D942AD4}"/>
            </a:ext>
          </a:extLst>
        </xdr:cNvPr>
        <xdr:cNvSpPr/>
      </xdr:nvSpPr>
      <xdr:spPr>
        <a:xfrm>
          <a:off x="9163050" y="2214561"/>
          <a:ext cx="1562100" cy="1471613"/>
        </a:xfrm>
        <a:prstGeom prst="roundRect">
          <a:avLst/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KEY TAKEAWAY</a:t>
          </a:r>
        </a:p>
      </xdr:txBody>
    </xdr:sp>
    <xdr:clientData/>
  </xdr:twoCellAnchor>
  <xdr:twoCellAnchor editAs="oneCell">
    <xdr:from>
      <xdr:col>14</xdr:col>
      <xdr:colOff>161925</xdr:colOff>
      <xdr:row>15</xdr:row>
      <xdr:rowOff>171450</xdr:rowOff>
    </xdr:from>
    <xdr:to>
      <xdr:col>15</xdr:col>
      <xdr:colOff>466725</xdr:colOff>
      <xdr:row>21</xdr:row>
      <xdr:rowOff>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565F0B4E-FFEF-6EDB-DF34-25A2054B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96425" y="2886075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 Garg" refreshedDate="46091.307542708331" createdVersion="8" refreshedVersion="8" minRefreshableVersion="3" recordCount="372" xr:uid="{B77127E5-BF09-4B0D-966F-385B96516408}">
  <cacheSource type="worksheet">
    <worksheetSource ref="A1:AN373" sheet="All_India_Index_Upto_April23 (1"/>
  </cacheSource>
  <cacheFields count="4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  <s v="Marcrh"/>
      </sharedItems>
    </cacheField>
    <cacheField name="Cereals and products" numFmtId="164">
      <sharedItems containsSemiMixedTypes="0" containsString="0" containsNumber="1" minValue="107.5" maxValue="174.8"/>
    </cacheField>
    <cacheField name="Meat and fish" numFmtId="164">
      <sharedItems containsSemiMixedTypes="0" containsString="0" containsNumber="1" minValue="106.3" maxValue="223.4"/>
    </cacheField>
    <cacheField name="Egg" numFmtId="164">
      <sharedItems containsSemiMixedTypes="0" containsString="0" containsNumber="1" minValue="102.7" maxValue="197"/>
    </cacheField>
    <cacheField name="Milk and products" numFmtId="164">
      <sharedItems containsSemiMixedTypes="0" containsString="0" containsNumber="1" minValue="103.6" maxValue="179.6"/>
    </cacheField>
    <cacheField name="Oils and fats" numFmtId="164">
      <sharedItems containsSemiMixedTypes="0" containsString="0" containsNumber="1" minValue="101.1" maxValue="209.9"/>
    </cacheField>
    <cacheField name="Fruits" numFmtId="164">
      <sharedItems containsSemiMixedTypes="0" containsString="0" containsNumber="1" minValue="102.3" maxValue="179.5"/>
    </cacheField>
    <cacheField name="Vegetables" numFmtId="164">
      <sharedItems containsSemiMixedTypes="0" containsString="0" containsNumber="1" minValue="101.4" maxValue="245.3"/>
    </cacheField>
    <cacheField name="Pulses and products" numFmtId="164">
      <sharedItems containsSemiMixedTypes="0" containsString="0" containsNumber="1" minValue="103.5" maxValue="191.6"/>
    </cacheField>
    <cacheField name="Sugar and Confectionery" numFmtId="164">
      <sharedItems containsSemiMixedTypes="0" containsString="0" containsNumber="1" minValue="85.3" maxValue="124.2"/>
    </cacheField>
    <cacheField name="Spices" numFmtId="164">
      <sharedItems containsSemiMixedTypes="0" containsString="0" containsNumber="1" minValue="101.8" maxValue="221"/>
    </cacheField>
    <cacheField name="Non-alcoholic beverages" numFmtId="164">
      <sharedItems containsSemiMixedTypes="0" containsString="0" containsNumber="1" minValue="104.8" maxValue="178.7"/>
    </cacheField>
    <cacheField name="Prepared meals, snacks, sweets etc." numFmtId="164">
      <sharedItems containsSemiMixedTypes="0" containsString="0" containsNumber="1" minValue="106.7" maxValue="197.7"/>
    </cacheField>
    <cacheField name="Food and beverages" numFmtId="164">
      <sharedItems containsSemiMixedTypes="0" containsString="0" containsNumber="1" minValue="105.5" maxValue="183.3" count="279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19999999999999"/>
        <n v="129.80000000000001"/>
        <n v="131.1"/>
        <n v="130.30000000000001"/>
        <n v="131"/>
        <n v="131.5"/>
        <n v="131.19999999999999"/>
        <n v="131.80000000000001"/>
        <n v="132.6"/>
        <n v="132.1"/>
        <n v="132.4"/>
        <n v="133.30000000000001"/>
        <n v="132.69999999999999"/>
        <n v="131.4"/>
        <n v="131.30000000000001"/>
        <n v="129.1"/>
        <n v="129.9"/>
        <n v="130.4"/>
        <n v="133.6"/>
        <n v="134.6"/>
        <n v="134"/>
        <n v="136"/>
        <n v="138.19999999999999"/>
        <n v="136.80000000000001"/>
        <n v="137.6"/>
        <n v="139.80000000000001"/>
        <n v="138.4"/>
        <n v="138"/>
        <n v="137.9"/>
        <n v="137.19999999999999"/>
        <n v="135.69999999999999"/>
        <n v="136.6"/>
        <n v="137.4"/>
        <n v="136.30000000000001"/>
        <n v="137"/>
        <n v="135.19999999999999"/>
        <n v="136.1"/>
        <n v="134.69999999999999"/>
        <n v="132.80000000000001"/>
        <n v="133.69999999999999"/>
        <n v="132"/>
        <n v="133.1"/>
        <n v="133"/>
        <n v="133.4"/>
        <n v="133.5"/>
        <n v="133.80000000000001"/>
        <n v="134.9"/>
        <n v="138.5"/>
        <n v="139"/>
        <n v="140.6"/>
        <n v="140.5"/>
        <n v="139.6"/>
        <n v="140.4"/>
        <n v="139.69999999999999"/>
        <n v="140.1"/>
        <n v="142.4"/>
        <n v="141.5"/>
        <n v="142.1"/>
        <n v="138.80000000000001"/>
        <n v="139.19999999999999"/>
        <n v="138.69999999999999"/>
        <n v="135.6"/>
        <n v="138.6"/>
        <n v="134.80000000000001"/>
        <n v="137.5"/>
        <n v="139.1"/>
        <n v="136.4"/>
        <n v="138.1"/>
        <n v="140"/>
        <n v="139.4"/>
        <n v="142"/>
        <n v="140.30000000000001"/>
        <n v="141.4"/>
        <n v="142.69999999999999"/>
        <n v="141.69999999999999"/>
        <n v="141.30000000000001"/>
        <n v="138.9"/>
        <n v="140.19999999999999"/>
        <n v="137.30000000000001"/>
        <n v="143.80000000000001"/>
        <n v="140.9"/>
        <n v="141"/>
        <n v="145.6"/>
        <n v="143"/>
        <n v="147.69999999999999"/>
        <n v="144.69999999999999"/>
        <n v="144"/>
        <n v="149.1"/>
        <n v="145.9"/>
        <n v="145.5"/>
        <n v="149.5"/>
        <n v="147"/>
        <n v="148.30000000000001"/>
        <n v="151.9"/>
        <n v="149.6"/>
        <n v="150.9"/>
        <n v="153.6"/>
        <n v="154.30000000000001"/>
        <n v="156.30000000000001"/>
        <n v="155"/>
        <n v="153"/>
        <n v="154.4"/>
        <n v="153.5"/>
        <n v="149.80000000000001"/>
        <n v="151.69999999999999"/>
        <n v="150.5"/>
        <n v="148.19999999999999"/>
        <n v="150.1"/>
        <n v="148.9"/>
        <n v="151.4"/>
        <n v="149.36666666666665"/>
        <n v="151.76666666666668"/>
        <n v="150.26666666666668"/>
        <n v="152.30000000000001"/>
        <n v="157"/>
        <n v="154"/>
        <n v="155.30000000000001"/>
        <n v="159.9"/>
        <n v="156.1"/>
        <n v="161.30000000000001"/>
        <n v="158"/>
        <n v="159.6"/>
        <n v="164.4"/>
        <n v="161.4"/>
        <n v="163.4"/>
        <n v="167"/>
        <n v="164.7"/>
        <n v="164.5"/>
        <n v="165.4"/>
        <n v="161"/>
        <n v="154.69999999999999"/>
        <n v="160.80000000000001"/>
        <n v="156.9"/>
        <n v="154.5"/>
        <n v="160.4"/>
        <n v="156.69999999999999"/>
        <n v="155.6"/>
        <n v="162"/>
        <n v="158.69999999999999"/>
        <n v="164.2"/>
        <n v="160.69999999999999"/>
        <n v="160.5"/>
        <n v="166.2"/>
        <n v="162.6"/>
        <n v="161.69999999999999"/>
        <n v="167.9"/>
        <n v="164"/>
        <n v="161.80000000000001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</sharedItems>
    </cacheField>
    <cacheField name="Pan, tobacco and intoxicants" numFmtId="164">
      <sharedItems containsSemiMixedTypes="0" containsString="0" containsNumber="1" minValue="105.1" maxValue="204.2"/>
    </cacheField>
    <cacheField name="Clothing" numFmtId="164">
      <sharedItems containsSemiMixedTypes="0" containsString="0" containsNumber="1" minValue="105.9" maxValue="191.2"/>
    </cacheField>
    <cacheField name="Footwear" numFmtId="164">
      <sharedItems containsSemiMixedTypes="0" containsString="0" containsNumber="1" minValue="105" maxValue="187.9"/>
    </cacheField>
    <cacheField name="Clothing and footwear" numFmtId="164">
      <sharedItems containsSemiMixedTypes="0" containsString="0" containsNumber="1" minValue="105.8" maxValue="190.8"/>
    </cacheField>
    <cacheField name="Housing" numFmtId="164">
      <sharedItems containsSemiMixedTypes="0" containsString="0" containsNumber="1" minValue="100.3" maxValue="175.6"/>
    </cacheField>
    <cacheField name="Fuel and light" numFmtId="164">
      <sharedItems containsSemiMixedTypes="0" containsString="0" containsNumber="1" minValue="105.4" maxValue="183.4"/>
    </cacheField>
    <cacheField name="Household goods and services" numFmtId="164">
      <sharedItems containsSemiMixedTypes="0" containsString="0" containsNumber="1" minValue="104.8" maxValue="179.8"/>
    </cacheField>
    <cacheField name="Health" numFmtId="164">
      <sharedItems containsSemiMixedTypes="0" containsString="0" containsNumber="1" minValue="104" maxValue="187.8"/>
    </cacheField>
    <cacheField name="Transport and communication" numFmtId="164">
      <sharedItems containsSemiMixedTypes="0" containsString="0" containsNumber="1" minValue="103.2" maxValue="169.7"/>
    </cacheField>
    <cacheField name="Recreation and amusement" numFmtId="164">
      <sharedItems containsSemiMixedTypes="0" containsString="0" containsNumber="1" minValue="102.9" maxValue="173.8"/>
    </cacheField>
    <cacheField name="Education" numFmtId="164">
      <sharedItems containsSemiMixedTypes="0" containsString="0" containsNumber="1" minValue="103.5" maxValue="180.3"/>
    </cacheField>
    <cacheField name="Personal care and effects" numFmtId="164">
      <sharedItems containsSemiMixedTypes="0" containsString="0" containsNumber="1" minValue="102.1" maxValue="185.6"/>
    </cacheField>
    <cacheField name="Miscellaneous" numFmtId="164">
      <sharedItems containsSemiMixedTypes="0" containsString="0" containsNumber="1" minValue="103.7" maxValue="179.5"/>
    </cacheField>
    <cacheField name="General index" numFmtId="164">
      <sharedItems containsSemiMixedTypes="0" containsString="0" containsNumber="1" minValue="104" maxValue="179.8"/>
    </cacheField>
    <cacheField name="Food &amp; Beverages" numFmtId="164">
      <sharedItems containsSemiMixedTypes="0" containsString="0" containsNumber="1" minValue="1371.6999999999998" maxValue="2335.1"/>
    </cacheField>
    <cacheField name="Clothing2" numFmtId="164">
      <sharedItems containsSemiMixedTypes="0" containsString="0" containsNumber="1" minValue="316.7" maxValue="569.90000000000009"/>
    </cacheField>
    <cacheField name="Housing2" numFmtId="164">
      <sharedItems containsSemiMixedTypes="0" containsString="0" containsNumber="1" minValue="205.1" maxValue="355.4"/>
    </cacheField>
    <cacheField name="Energy &amp; Fuel" numFmtId="164">
      <sharedItems containsSemiMixedTypes="0" containsString="0" containsNumber="1" minValue="105.4" maxValue="183.4"/>
    </cacheField>
    <cacheField name="Misc" numFmtId="164">
      <sharedItems containsSemiMixedTypes="0" containsString="0" containsNumber="1" minValue="726.90000000000009" maxValue="1275.9000000000001"/>
    </cacheField>
    <cacheField name="Food1" numFmtId="164">
      <sharedItems containsSemiMixedTypes="0" containsString="0" containsNumber="1" minValue="105.5153846153846" maxValue="179.62307692307692"/>
    </cacheField>
    <cacheField name="Clothing1" numFmtId="164">
      <sharedItems containsSemiMixedTypes="0" containsString="0" containsNumber="1" minValue="105.56666666666666" maxValue="189.9666666666667"/>
    </cacheField>
    <cacheField name="Housing1" numFmtId="164">
      <sharedItems containsSemiMixedTypes="0" containsString="0" containsNumber="1" minValue="102.55" maxValue="177.7"/>
    </cacheField>
    <cacheField name="Energy1" numFmtId="164">
      <sharedItems containsSemiMixedTypes="0" containsString="0" containsNumber="1" minValue="105.4" maxValue="183.4"/>
    </cacheField>
    <cacheField name="Misc1" numFmtId="164">
      <sharedItems containsSemiMixedTypes="0" containsString="0" containsNumber="1" minValue="103.84285714285716" maxValue="182.271428571428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x v="0"/>
    <n v="105.1"/>
    <n v="106.5"/>
    <n v="105.8"/>
    <n v="106.4"/>
    <n v="100.3"/>
    <n v="105.5"/>
    <n v="104.8"/>
    <n v="104"/>
    <n v="103.3"/>
    <n v="103.4"/>
    <n v="103.8"/>
    <n v="104.7"/>
    <n v="104"/>
    <n v="105.1"/>
    <n v="1371.6999999999998"/>
    <n v="318.70000000000005"/>
    <n v="205.1"/>
    <n v="105.5"/>
    <n v="728.30000000000007"/>
    <n v="105.5153846153846"/>
    <n v="106.23333333333335"/>
    <n v="102.55"/>
    <n v="105.5"/>
    <n v="104.04285714285716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x v="1"/>
    <n v="105.2"/>
    <n v="105.9"/>
    <n v="105"/>
    <n v="105.8"/>
    <n v="100.3"/>
    <n v="105.4"/>
    <n v="104.8"/>
    <n v="104.1"/>
    <n v="103.2"/>
    <n v="102.9"/>
    <n v="103.5"/>
    <n v="104.3"/>
    <n v="103.7"/>
    <n v="104"/>
    <n v="1376.4"/>
    <n v="316.7"/>
    <n v="205.1"/>
    <n v="105.4"/>
    <n v="726.90000000000009"/>
    <n v="105.87692307692308"/>
    <n v="105.56666666666666"/>
    <n v="102.55"/>
    <n v="105.4"/>
    <n v="103.84285714285716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x v="2"/>
    <n v="105.1"/>
    <n v="106.3"/>
    <n v="105.5"/>
    <n v="106.2"/>
    <n v="100.3"/>
    <n v="105.5"/>
    <n v="104.8"/>
    <n v="104"/>
    <n v="103.2"/>
    <n v="103.1"/>
    <n v="103.6"/>
    <n v="104.5"/>
    <n v="103.9"/>
    <n v="104.6"/>
    <n v="1373.3000000000002"/>
    <n v="318"/>
    <n v="205.1"/>
    <n v="105.5"/>
    <n v="727.4"/>
    <n v="105.63846153846156"/>
    <n v="106"/>
    <n v="102.55"/>
    <n v="105.5"/>
    <n v="103.91428571428571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x v="3"/>
    <n v="105.6"/>
    <n v="107.1"/>
    <n v="106.3"/>
    <n v="107"/>
    <n v="100.4"/>
    <n v="106.2"/>
    <n v="105.2"/>
    <n v="104.4"/>
    <n v="103.9"/>
    <n v="104"/>
    <n v="104.1"/>
    <n v="104.6"/>
    <n v="104.4"/>
    <n v="105.8"/>
    <n v="1380.3999999999999"/>
    <n v="320.39999999999998"/>
    <n v="205.60000000000002"/>
    <n v="106.2"/>
    <n v="731"/>
    <n v="106.18461538461537"/>
    <n v="106.8"/>
    <n v="102.80000000000001"/>
    <n v="106.2"/>
    <n v="104.42857142857143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x v="4"/>
    <n v="106"/>
    <n v="106.6"/>
    <n v="105.5"/>
    <n v="106.4"/>
    <n v="100.4"/>
    <n v="105.7"/>
    <n v="105.2"/>
    <n v="104.7"/>
    <n v="104.4"/>
    <n v="103.3"/>
    <n v="103.7"/>
    <n v="104.3"/>
    <n v="104.3"/>
    <n v="104.7"/>
    <n v="1390.6000000000001"/>
    <n v="318.5"/>
    <n v="205.60000000000002"/>
    <n v="105.7"/>
    <n v="730.69999999999993"/>
    <n v="106.96923076923078"/>
    <n v="106.16666666666667"/>
    <n v="102.80000000000001"/>
    <n v="105.7"/>
    <n v="104.38571428571427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x v="5"/>
    <n v="105.7"/>
    <n v="106.9"/>
    <n v="106"/>
    <n v="106.8"/>
    <n v="100.4"/>
    <n v="106"/>
    <n v="105.2"/>
    <n v="104.5"/>
    <n v="104.2"/>
    <n v="103.6"/>
    <n v="103.9"/>
    <n v="104.5"/>
    <n v="104.4"/>
    <n v="105.3"/>
    <n v="1384.2"/>
    <n v="319.7"/>
    <n v="205.60000000000002"/>
    <n v="106"/>
    <n v="730.8"/>
    <n v="106.47692307692309"/>
    <n v="106.56666666666666"/>
    <n v="102.80000000000001"/>
    <n v="106"/>
    <n v="104.39999999999999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x v="5"/>
    <n v="106.5"/>
    <n v="107.6"/>
    <n v="106.8"/>
    <n v="107.5"/>
    <n v="100.4"/>
    <n v="106.1"/>
    <n v="105.6"/>
    <n v="104.7"/>
    <n v="104.6"/>
    <n v="104"/>
    <n v="104.3"/>
    <n v="104.3"/>
    <n v="104.6"/>
    <n v="106"/>
    <n v="1382.2"/>
    <n v="321.89999999999998"/>
    <n v="206"/>
    <n v="106.1"/>
    <n v="733"/>
    <n v="106.32307692307693"/>
    <n v="107.3"/>
    <n v="103"/>
    <n v="106.1"/>
    <n v="104.71428571428571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x v="6"/>
    <n v="106.8"/>
    <n v="107.2"/>
    <n v="106"/>
    <n v="107"/>
    <n v="100.4"/>
    <n v="106"/>
    <n v="105.7"/>
    <n v="105.2"/>
    <n v="105.5"/>
    <n v="103.5"/>
    <n v="103.8"/>
    <n v="104.2"/>
    <n v="104.9"/>
    <n v="105"/>
    <n v="1386.8"/>
    <n v="320.2"/>
    <n v="206.10000000000002"/>
    <n v="106"/>
    <n v="733.9"/>
    <n v="106.67692307692307"/>
    <n v="106.73333333333333"/>
    <n v="103.05000000000001"/>
    <n v="106"/>
    <n v="104.84285714285714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x v="7"/>
    <n v="106.6"/>
    <n v="107.4"/>
    <n v="106.5"/>
    <n v="107.3"/>
    <n v="100.4"/>
    <n v="106.1"/>
    <n v="105.6"/>
    <n v="104.9"/>
    <n v="105.1"/>
    <n v="103.7"/>
    <n v="104"/>
    <n v="104.3"/>
    <n v="104.7"/>
    <n v="105.5"/>
    <n v="1384.0000000000002"/>
    <n v="321.2"/>
    <n v="206"/>
    <n v="106.1"/>
    <n v="733.30000000000007"/>
    <n v="106.46153846153848"/>
    <n v="107.06666666666666"/>
    <n v="103"/>
    <n v="106.1"/>
    <n v="104.75714285714287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x v="8"/>
    <n v="107.1"/>
    <n v="108.1"/>
    <n v="107.4"/>
    <n v="108"/>
    <n v="100.5"/>
    <n v="106.5"/>
    <n v="106.1"/>
    <n v="105.1"/>
    <n v="104.4"/>
    <n v="104.5"/>
    <n v="104.8"/>
    <n v="102.7"/>
    <n v="104.6"/>
    <n v="106.4"/>
    <n v="1385.8"/>
    <n v="323.5"/>
    <n v="206.6"/>
    <n v="106.5"/>
    <n v="733.2"/>
    <n v="106.6"/>
    <n v="107.83333333333333"/>
    <n v="103.3"/>
    <n v="106.5"/>
    <n v="104.74285714285715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x v="9"/>
    <n v="108.5"/>
    <n v="107.9"/>
    <n v="106.4"/>
    <n v="107.7"/>
    <n v="100.5"/>
    <n v="106.4"/>
    <n v="106.5"/>
    <n v="105.7"/>
    <n v="105"/>
    <n v="104"/>
    <n v="105.2"/>
    <n v="103.2"/>
    <n v="105.1"/>
    <n v="105.7"/>
    <n v="1397.6999999999998"/>
    <n v="322"/>
    <n v="207"/>
    <n v="106.4"/>
    <n v="736.7"/>
    <n v="107.5153846153846"/>
    <n v="107.33333333333333"/>
    <n v="103.5"/>
    <n v="106.4"/>
    <n v="105.24285714285715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x v="10"/>
    <n v="107.5"/>
    <n v="108"/>
    <n v="107"/>
    <n v="107.9"/>
    <n v="100.5"/>
    <n v="106.5"/>
    <n v="106.3"/>
    <n v="105.3"/>
    <n v="104.7"/>
    <n v="104.2"/>
    <n v="105"/>
    <n v="102.9"/>
    <n v="104.8"/>
    <n v="106.1"/>
    <n v="1390.2"/>
    <n v="322.89999999999998"/>
    <n v="206.8"/>
    <n v="106.5"/>
    <n v="734.4"/>
    <n v="106.93846153846154"/>
    <n v="107.63333333333333"/>
    <n v="103.4"/>
    <n v="106.5"/>
    <n v="104.91428571428571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x v="11"/>
    <n v="108.1"/>
    <n v="108.8"/>
    <n v="107.9"/>
    <n v="108.6"/>
    <n v="100.5"/>
    <n v="107.5"/>
    <n v="106.8"/>
    <n v="105.7"/>
    <n v="104.1"/>
    <n v="105"/>
    <n v="105.5"/>
    <n v="102.1"/>
    <n v="104.8"/>
    <n v="107.2"/>
    <n v="1394"/>
    <n v="325.29999999999995"/>
    <n v="207.3"/>
    <n v="107.5"/>
    <n v="735.3"/>
    <n v="107.23076923076923"/>
    <n v="108.43333333333332"/>
    <n v="103.65"/>
    <n v="107.5"/>
    <n v="105.04285714285713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x v="12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417.1999999999998"/>
    <n v="323.5"/>
    <n v="207.6"/>
    <n v="107.2"/>
    <n v="737.69999999999993"/>
    <n v="109.0153846153846"/>
    <n v="107.83333333333333"/>
    <n v="103.8"/>
    <n v="107.2"/>
    <n v="105.38571428571427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x v="13"/>
    <n v="108.6"/>
    <n v="108.7"/>
    <n v="107.4"/>
    <n v="108.5"/>
    <n v="100.5"/>
    <n v="107.4"/>
    <n v="106.9"/>
    <n v="105.9"/>
    <n v="104"/>
    <n v="104.8"/>
    <n v="105.6"/>
    <n v="102.3"/>
    <n v="104.8"/>
    <n v="106.9"/>
    <n v="1402.1999999999998"/>
    <n v="324.60000000000002"/>
    <n v="207.4"/>
    <n v="107.4"/>
    <n v="735.99999999999989"/>
    <n v="107.86153846153844"/>
    <n v="108.2"/>
    <n v="103.7"/>
    <n v="107.4"/>
    <n v="105.14285714285712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x v="14"/>
    <n v="109"/>
    <n v="109.7"/>
    <n v="108.8"/>
    <n v="109.5"/>
    <n v="106.6"/>
    <n v="108.5"/>
    <n v="107.5"/>
    <n v="106.3"/>
    <n v="105"/>
    <n v="105.6"/>
    <n v="106.5"/>
    <n v="102.5"/>
    <n v="105.5"/>
    <n v="108.9"/>
    <n v="1420"/>
    <n v="328"/>
    <n v="214.1"/>
    <n v="108.5"/>
    <n v="740.4"/>
    <n v="109.23076923076923"/>
    <n v="109.33333333333333"/>
    <n v="107.05"/>
    <n v="108.5"/>
    <n v="105.77142857142857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x v="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464.6000000000001"/>
    <n v="325.3"/>
    <n v="214.3"/>
    <n v="108"/>
    <n v="745.3"/>
    <n v="112.66153846153847"/>
    <n v="108.43333333333334"/>
    <n v="107.15"/>
    <n v="108"/>
    <n v="106.47142857142856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x v="16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436"/>
    <n v="326.89999999999998"/>
    <n v="214.2"/>
    <n v="108.3"/>
    <n v="742.39999999999986"/>
    <n v="110.46153846153847"/>
    <n v="108.96666666666665"/>
    <n v="107.1"/>
    <n v="108.3"/>
    <n v="106.05714285714284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x v="17"/>
    <n v="109.8"/>
    <n v="110.5"/>
    <n v="109.5"/>
    <n v="110.3"/>
    <n v="107.7"/>
    <n v="109.5"/>
    <n v="108.3"/>
    <n v="106.9"/>
    <n v="106.8"/>
    <n v="106.4"/>
    <n v="107.8"/>
    <n v="102.5"/>
    <n v="106.5"/>
    <n v="110.7"/>
    <n v="1445.8999999999996"/>
    <n v="330.3"/>
    <n v="216"/>
    <n v="109.5"/>
    <n v="746.7"/>
    <n v="111.22307692307689"/>
    <n v="110.10000000000001"/>
    <n v="108"/>
    <n v="109.5"/>
    <n v="106.67142857142858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x v="18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489.4"/>
    <n v="327.10000000000002"/>
    <n v="215.8"/>
    <n v="108.6"/>
    <n v="752.6"/>
    <n v="114.56923076923077"/>
    <n v="109.03333333333335"/>
    <n v="107.9"/>
    <n v="108.6"/>
    <n v="107.51428571428572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x v="19"/>
    <n v="110.3"/>
    <n v="110.2"/>
    <n v="108.8"/>
    <n v="110"/>
    <n v="107.7"/>
    <n v="109.2"/>
    <n v="108.2"/>
    <n v="107"/>
    <n v="107.1"/>
    <n v="106.1"/>
    <n v="109.1"/>
    <n v="102.8"/>
    <n v="106.9"/>
    <n v="111"/>
    <n v="1461.3999999999999"/>
    <n v="329"/>
    <n v="215.9"/>
    <n v="109.2"/>
    <n v="749.29999999999984"/>
    <n v="112.41538461538461"/>
    <n v="109.66666666666667"/>
    <n v="107.95"/>
    <n v="109.2"/>
    <n v="107.04285714285712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x v="20"/>
    <n v="110.7"/>
    <n v="111.3"/>
    <n v="110.2"/>
    <n v="111.1"/>
    <n v="108.9"/>
    <n v="109.9"/>
    <n v="108.7"/>
    <n v="107.5"/>
    <n v="107.8"/>
    <n v="106.8"/>
    <n v="108.7"/>
    <n v="105"/>
    <n v="107.5"/>
    <n v="112.1"/>
    <n v="1462.5"/>
    <n v="332.6"/>
    <n v="217.60000000000002"/>
    <n v="109.9"/>
    <n v="754"/>
    <n v="112.5"/>
    <n v="110.86666666666667"/>
    <n v="108.80000000000001"/>
    <n v="109.9"/>
    <n v="107.7142857142857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x v="21"/>
    <n v="112.4"/>
    <n v="110.6"/>
    <n v="108.3"/>
    <n v="110.2"/>
    <n v="108.9"/>
    <n v="109.3"/>
    <n v="108.7"/>
    <n v="107.6"/>
    <n v="108.1"/>
    <n v="106.5"/>
    <n v="110.8"/>
    <n v="106"/>
    <n v="108.3"/>
    <n v="112.7"/>
    <n v="1506.1000000000001"/>
    <n v="329.09999999999997"/>
    <n v="217.60000000000002"/>
    <n v="109.3"/>
    <n v="759.69999999999993"/>
    <n v="115.85384615384616"/>
    <n v="109.69999999999999"/>
    <n v="108.80000000000001"/>
    <n v="109.3"/>
    <n v="108.52857142857142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x v="22"/>
    <n v="111.2"/>
    <n v="111"/>
    <n v="109.4"/>
    <n v="110.7"/>
    <n v="108.9"/>
    <n v="109.7"/>
    <n v="108.7"/>
    <n v="107.5"/>
    <n v="108"/>
    <n v="106.6"/>
    <n v="109.9"/>
    <n v="105.4"/>
    <n v="107.9"/>
    <n v="112.4"/>
    <n v="1477.4"/>
    <n v="331.1"/>
    <n v="217.60000000000002"/>
    <n v="109.7"/>
    <n v="756.5"/>
    <n v="113.64615384615385"/>
    <n v="110.36666666666667"/>
    <n v="108.80000000000001"/>
    <n v="109.7"/>
    <n v="108.07142857142857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x v="23"/>
    <n v="111.7"/>
    <n v="112.7"/>
    <n v="111.4"/>
    <n v="112.5"/>
    <n v="109.7"/>
    <n v="111.1"/>
    <n v="109.6"/>
    <n v="108.3"/>
    <n v="109.3"/>
    <n v="107.7"/>
    <n v="109.8"/>
    <n v="106.7"/>
    <n v="108.7"/>
    <n v="114.2"/>
    <n v="1488.5000000000002"/>
    <n v="336.6"/>
    <n v="219.3"/>
    <n v="111.1"/>
    <n v="762.20000000000016"/>
    <n v="114.50000000000001"/>
    <n v="112.2"/>
    <n v="109.65"/>
    <n v="111.1"/>
    <n v="108.88571428571431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x v="24"/>
    <n v="112.9"/>
    <n v="111.4"/>
    <n v="109"/>
    <n v="111.1"/>
    <n v="109.7"/>
    <n v="109.5"/>
    <n v="109.6"/>
    <n v="107.9"/>
    <n v="110.4"/>
    <n v="107.4"/>
    <n v="111.2"/>
    <n v="106.9"/>
    <n v="109.4"/>
    <n v="113.2"/>
    <n v="1500.4"/>
    <n v="331.5"/>
    <n v="219.3"/>
    <n v="109.5"/>
    <n v="766.1"/>
    <n v="115.41538461538462"/>
    <n v="110.5"/>
    <n v="109.65"/>
    <n v="109.5"/>
    <n v="109.44285714285715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x v="25"/>
    <n v="112"/>
    <n v="112.2"/>
    <n v="110.4"/>
    <n v="111.9"/>
    <n v="109.7"/>
    <n v="110.5"/>
    <n v="109.6"/>
    <n v="108.1"/>
    <n v="109.9"/>
    <n v="107.5"/>
    <n v="110.6"/>
    <n v="106.8"/>
    <n v="109"/>
    <n v="113.7"/>
    <n v="1491.6999999999998"/>
    <n v="334.5"/>
    <n v="219.3"/>
    <n v="110.5"/>
    <n v="763.9"/>
    <n v="114.74615384615383"/>
    <n v="111.5"/>
    <n v="109.65"/>
    <n v="110.5"/>
    <n v="109.12857142857142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x v="26"/>
    <n v="112.2"/>
    <n v="113.6"/>
    <n v="112.3"/>
    <n v="113.4"/>
    <n v="110.5"/>
    <n v="111.6"/>
    <n v="110.4"/>
    <n v="108.9"/>
    <n v="109.3"/>
    <n v="108.3"/>
    <n v="110.2"/>
    <n v="107.5"/>
    <n v="109.1"/>
    <n v="115.5"/>
    <n v="1508"/>
    <n v="339.29999999999995"/>
    <n v="220.9"/>
    <n v="111.6"/>
    <n v="765.50000000000011"/>
    <n v="116"/>
    <n v="113.09999999999998"/>
    <n v="110.45"/>
    <n v="111.6"/>
    <n v="109.35714285714288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x v="27"/>
    <n v="113.5"/>
    <n v="112.5"/>
    <n v="109.7"/>
    <n v="112"/>
    <n v="110.5"/>
    <n v="109.7"/>
    <n v="110.2"/>
    <n v="108.2"/>
    <n v="109.7"/>
    <n v="108"/>
    <n v="111.3"/>
    <n v="107.3"/>
    <n v="109.4"/>
    <n v="114"/>
    <n v="1517.1999999999998"/>
    <n v="334.2"/>
    <n v="220.7"/>
    <n v="109.7"/>
    <n v="767.4"/>
    <n v="116.7076923076923"/>
    <n v="111.39999999999999"/>
    <n v="110.35"/>
    <n v="109.7"/>
    <n v="109.62857142857142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x v="28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510.2000000000003"/>
    <n v="337.2"/>
    <n v="220.8"/>
    <n v="110.9"/>
    <n v="766.1"/>
    <n v="116.16923076923079"/>
    <n v="112.39999999999999"/>
    <n v="110.4"/>
    <n v="110.9"/>
    <n v="109.44285714285715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x v="29"/>
    <n v="112.8"/>
    <n v="114.6"/>
    <n v="113.1"/>
    <n v="114.4"/>
    <n v="111.1"/>
    <n v="112.6"/>
    <n v="111.3"/>
    <n v="109.7"/>
    <n v="109.6"/>
    <n v="108.7"/>
    <n v="111"/>
    <n v="108.2"/>
    <n v="109.8"/>
    <n v="117.4"/>
    <n v="1536.8"/>
    <n v="342.1"/>
    <n v="222.39999999999998"/>
    <n v="112.6"/>
    <n v="769.8"/>
    <n v="118.21538461538461"/>
    <n v="114.03333333333335"/>
    <n v="111.19999999999999"/>
    <n v="112.6"/>
    <n v="109.97142857142856"/>
  </r>
  <r>
    <x v="1"/>
    <x v="0"/>
    <x v="11"/>
    <n v="119.8"/>
    <n v="116.3"/>
    <n v="122.6"/>
    <n v="112"/>
    <n v="103.2"/>
    <n v="110"/>
    <n v="192.8"/>
    <n v="106.3"/>
    <n v="99.5"/>
    <n v="110.3"/>
    <n v="111.8"/>
    <n v="117.1"/>
    <x v="30"/>
    <n v="114.1"/>
    <n v="113.5"/>
    <n v="110.3"/>
    <n v="113"/>
    <n v="111.1"/>
    <n v="110"/>
    <n v="110.9"/>
    <n v="108.6"/>
    <n v="109.5"/>
    <n v="108.5"/>
    <n v="111.3"/>
    <n v="107.9"/>
    <n v="109.6"/>
    <n v="115"/>
    <n v="1544.6"/>
    <n v="336.8"/>
    <n v="222"/>
    <n v="110"/>
    <n v="769.50000000000011"/>
    <n v="118.8153846153846"/>
    <n v="112.26666666666667"/>
    <n v="111"/>
    <n v="110"/>
    <n v="109.92857142857144"/>
  </r>
  <r>
    <x v="2"/>
    <x v="0"/>
    <x v="11"/>
    <n v="118.1"/>
    <n v="115.4"/>
    <n v="118.7"/>
    <n v="112.5"/>
    <n v="106.8"/>
    <n v="113.5"/>
    <n v="183.1"/>
    <n v="108.2"/>
    <n v="102.2"/>
    <n v="109.4"/>
    <n v="111.8"/>
    <n v="116.5"/>
    <x v="31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538.8"/>
    <n v="339.90000000000003"/>
    <n v="222.2"/>
    <n v="111.6"/>
    <n v="769.5"/>
    <n v="118.36923076923077"/>
    <n v="113.30000000000001"/>
    <n v="111.1"/>
    <n v="111.6"/>
    <n v="109.92857142857143"/>
  </r>
  <r>
    <x v="0"/>
    <x v="0"/>
    <x v="12"/>
    <n v="118.4"/>
    <n v="115.9"/>
    <n v="120.4"/>
    <n v="113.8"/>
    <n v="109.5"/>
    <n v="115.5"/>
    <n v="145.69999999999999"/>
    <n v="109.5"/>
    <n v="102.9"/>
    <n v="109.8"/>
    <n v="112.1"/>
    <n v="116.8"/>
    <x v="32"/>
    <n v="113.6"/>
    <n v="115.8"/>
    <n v="114"/>
    <n v="115.5"/>
    <n v="110.7"/>
    <n v="112.8"/>
    <n v="112.1"/>
    <n v="110.1"/>
    <n v="109.9"/>
    <n v="109.2"/>
    <n v="111.6"/>
    <n v="108.1"/>
    <n v="110.1"/>
    <n v="115.5"/>
    <n v="1509"/>
    <n v="345.3"/>
    <n v="222.8"/>
    <n v="112.8"/>
    <n v="772.6"/>
    <n v="116.07692307692308"/>
    <n v="115.10000000000001"/>
    <n v="111.4"/>
    <n v="112.8"/>
    <n v="110.37142857142858"/>
  </r>
  <r>
    <x v="1"/>
    <x v="0"/>
    <x v="12"/>
    <n v="120.5"/>
    <n v="118.1"/>
    <n v="128.5"/>
    <n v="112.8"/>
    <n v="103.4"/>
    <n v="110.7"/>
    <n v="144.80000000000001"/>
    <n v="107.1"/>
    <n v="98.6"/>
    <n v="111.9"/>
    <n v="112.1"/>
    <n v="118.1"/>
    <x v="23"/>
    <n v="115"/>
    <n v="114.2"/>
    <n v="110.9"/>
    <n v="113.7"/>
    <n v="110.7"/>
    <n v="110.4"/>
    <n v="111.3"/>
    <n v="109"/>
    <n v="109.7"/>
    <n v="108.9"/>
    <n v="111.4"/>
    <n v="107.7"/>
    <n v="109.8"/>
    <n v="113.3"/>
    <n v="1504.4"/>
    <n v="338.8"/>
    <n v="222"/>
    <n v="110.4"/>
    <n v="771.5"/>
    <n v="115.72307692307693"/>
    <n v="112.93333333333334"/>
    <n v="111"/>
    <n v="110.4"/>
    <n v="110.21428571428571"/>
  </r>
  <r>
    <x v="2"/>
    <x v="0"/>
    <x v="12"/>
    <n v="119.1"/>
    <n v="116.7"/>
    <n v="123.5"/>
    <n v="113.4"/>
    <n v="107.3"/>
    <n v="113.3"/>
    <n v="145.4"/>
    <n v="108.7"/>
    <n v="101.5"/>
    <n v="110.5"/>
    <n v="112.1"/>
    <n v="117.4"/>
    <x v="33"/>
    <n v="114"/>
    <n v="115.2"/>
    <n v="112.7"/>
    <n v="114.8"/>
    <n v="110.7"/>
    <n v="111.9"/>
    <n v="111.7"/>
    <n v="109.7"/>
    <n v="109.8"/>
    <n v="109"/>
    <n v="111.5"/>
    <n v="107.9"/>
    <n v="110"/>
    <n v="114.5"/>
    <n v="1507.3000000000002"/>
    <n v="342.7"/>
    <n v="222.4"/>
    <n v="111.9"/>
    <n v="771.9"/>
    <n v="115.94615384615386"/>
    <n v="114.23333333333333"/>
    <n v="111.2"/>
    <n v="111.9"/>
    <n v="110.27142857142857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x v="34"/>
    <n v="114"/>
    <n v="116.5"/>
    <n v="114.5"/>
    <n v="116.2"/>
    <n v="111.6"/>
    <n v="113"/>
    <n v="112.6"/>
    <n v="110.6"/>
    <n v="110.5"/>
    <n v="109.6"/>
    <n v="111.8"/>
    <n v="108.3"/>
    <n v="110.6"/>
    <n v="114.2"/>
    <n v="1486.6000000000001"/>
    <n v="347.2"/>
    <n v="224.2"/>
    <n v="113"/>
    <n v="775.4"/>
    <n v="114.35384615384616"/>
    <n v="115.73333333333333"/>
    <n v="112.1"/>
    <n v="113"/>
    <n v="110.77142857142857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x v="35"/>
    <n v="115.7"/>
    <n v="114.8"/>
    <n v="111.3"/>
    <n v="114.3"/>
    <n v="111.6"/>
    <n v="111"/>
    <n v="111.9"/>
    <n v="109.7"/>
    <n v="110.8"/>
    <n v="109.8"/>
    <n v="111.5"/>
    <n v="108"/>
    <n v="110.5"/>
    <n v="112.9"/>
    <n v="1484.3"/>
    <n v="340.4"/>
    <n v="223.5"/>
    <n v="111"/>
    <n v="776"/>
    <n v="114.17692307692307"/>
    <n v="113.46666666666665"/>
    <n v="111.75"/>
    <n v="111"/>
    <n v="110.85714285714286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x v="36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485.7999999999997"/>
    <n v="344.4"/>
    <n v="223.89999999999998"/>
    <n v="112.2"/>
    <n v="775.6"/>
    <n v="114.29230769230767"/>
    <n v="114.8"/>
    <n v="111.94999999999999"/>
    <n v="112.2"/>
    <n v="110.8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x v="37"/>
    <n v="114.2"/>
    <n v="117.1"/>
    <n v="114.5"/>
    <n v="116.7"/>
    <n v="112.5"/>
    <n v="113.2"/>
    <n v="112.9"/>
    <n v="110.9"/>
    <n v="110.8"/>
    <n v="109.9"/>
    <n v="112"/>
    <n v="108.7"/>
    <n v="110.9"/>
    <n v="114"/>
    <n v="1482.2"/>
    <n v="348.3"/>
    <n v="225.4"/>
    <n v="113.2"/>
    <n v="777.40000000000009"/>
    <n v="114.01538461538462"/>
    <n v="116.10000000000001"/>
    <n v="112.7"/>
    <n v="113.2"/>
    <n v="111.05714285714286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x v="38"/>
    <n v="116.2"/>
    <n v="115.3"/>
    <n v="111.7"/>
    <n v="114.7"/>
    <n v="112.5"/>
    <n v="111.1"/>
    <n v="112.6"/>
    <n v="110.4"/>
    <n v="111.3"/>
    <n v="110.3"/>
    <n v="111.6"/>
    <n v="108.7"/>
    <n v="111"/>
    <n v="113.1"/>
    <n v="1476"/>
    <n v="341.7"/>
    <n v="225.1"/>
    <n v="111.1"/>
    <n v="779.50000000000011"/>
    <n v="113.53846153846153"/>
    <n v="113.89999999999999"/>
    <n v="112.55"/>
    <n v="111.1"/>
    <n v="111.35714285714288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x v="37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480.1"/>
    <n v="345.6"/>
    <n v="225.3"/>
    <n v="112.4"/>
    <n v="778"/>
    <n v="113.85384615384615"/>
    <n v="115.2"/>
    <n v="112.65"/>
    <n v="112.4"/>
    <n v="111.14285714285714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x v="39"/>
    <n v="114.6"/>
    <n v="117.5"/>
    <n v="114.9"/>
    <n v="117.2"/>
    <n v="113.2"/>
    <n v="113.4"/>
    <n v="113.4"/>
    <n v="111.4"/>
    <n v="111.2"/>
    <n v="110.2"/>
    <n v="112.4"/>
    <n v="108.9"/>
    <n v="111.3"/>
    <n v="114.6"/>
    <n v="1491.4"/>
    <n v="349.6"/>
    <n v="226.60000000000002"/>
    <n v="113.4"/>
    <n v="780"/>
    <n v="114.72307692307693"/>
    <n v="116.53333333333335"/>
    <n v="113.30000000000001"/>
    <n v="113.4"/>
    <n v="111.42857142857143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x v="34"/>
    <n v="116.7"/>
    <n v="115.8"/>
    <n v="112.1"/>
    <n v="115.2"/>
    <n v="113.2"/>
    <n v="110.9"/>
    <n v="113"/>
    <n v="110.8"/>
    <n v="111.6"/>
    <n v="110.9"/>
    <n v="111.8"/>
    <n v="109.2"/>
    <n v="111.4"/>
    <n v="113.7"/>
    <n v="1483"/>
    <n v="343.09999999999997"/>
    <n v="226.2"/>
    <n v="110.9"/>
    <n v="782.4"/>
    <n v="114.07692307692308"/>
    <n v="114.36666666666666"/>
    <n v="113.1"/>
    <n v="110.9"/>
    <n v="111.77142857142857"/>
  </r>
  <r>
    <x v="2"/>
    <x v="1"/>
    <x v="13"/>
    <n v="120.7"/>
    <n v="119.3"/>
    <n v="121"/>
    <n v="116.1"/>
    <n v="106.9"/>
    <n v="118.7"/>
    <n v="116.3"/>
    <n v="109.8"/>
    <n v="99.6"/>
    <n v="111.8"/>
    <n v="112.7"/>
    <n v="119.3"/>
    <x v="40"/>
    <n v="115.2"/>
    <n v="116.8"/>
    <n v="113.7"/>
    <n v="116.4"/>
    <n v="113.2"/>
    <n v="112.5"/>
    <n v="113.2"/>
    <n v="111.2"/>
    <n v="111.4"/>
    <n v="110.6"/>
    <n v="112"/>
    <n v="109"/>
    <n v="111.3"/>
    <n v="114.2"/>
    <n v="1488.2999999999997"/>
    <n v="346.9"/>
    <n v="226.4"/>
    <n v="112.5"/>
    <n v="780.7"/>
    <n v="114.48461538461537"/>
    <n v="115.63333333333333"/>
    <n v="113.2"/>
    <n v="112.5"/>
    <n v="111.52857142857144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x v="41"/>
    <n v="115.4"/>
    <n v="118.1"/>
    <n v="116.1"/>
    <n v="117.8"/>
    <n v="113.9"/>
    <n v="113.4"/>
    <n v="113.7"/>
    <n v="111.8"/>
    <n v="111.2"/>
    <n v="110.5"/>
    <n v="113"/>
    <n v="108.9"/>
    <n v="111.5"/>
    <n v="115.4"/>
    <n v="1504.1000000000001"/>
    <n v="352"/>
    <n v="227.60000000000002"/>
    <n v="113.4"/>
    <n v="782.3"/>
    <n v="115.70000000000002"/>
    <n v="117.33333333333333"/>
    <n v="113.80000000000001"/>
    <n v="113.4"/>
    <n v="111.75714285714285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x v="4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504.0000000000002"/>
    <n v="344.5"/>
    <n v="227.3"/>
    <n v="110.9"/>
    <n v="784"/>
    <n v="115.69230769230771"/>
    <n v="114.83333333333333"/>
    <n v="113.65"/>
    <n v="110.9"/>
    <n v="112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x v="43"/>
    <n v="116"/>
    <n v="117.4"/>
    <n v="114.6"/>
    <n v="117"/>
    <n v="113.9"/>
    <n v="112.5"/>
    <n v="113.6"/>
    <n v="111.5"/>
    <n v="111.2"/>
    <n v="110.9"/>
    <n v="112.7"/>
    <n v="109"/>
    <n v="111.5"/>
    <n v="115.1"/>
    <n v="1504.1"/>
    <n v="349"/>
    <n v="227.5"/>
    <n v="112.5"/>
    <n v="782.8"/>
    <n v="115.69999999999999"/>
    <n v="116.33333333333333"/>
    <n v="113.75"/>
    <n v="112.5"/>
    <n v="111.82857142857142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x v="42"/>
    <n v="116.3"/>
    <n v="118.7"/>
    <n v="116.8"/>
    <n v="118.5"/>
    <n v="114.3"/>
    <n v="113.4"/>
    <n v="114.1"/>
    <n v="112.1"/>
    <n v="111.4"/>
    <n v="110.9"/>
    <n v="113.1"/>
    <n v="108.9"/>
    <n v="111.8"/>
    <n v="116"/>
    <n v="1513.8999999999999"/>
    <n v="354"/>
    <n v="228.39999999999998"/>
    <n v="113.4"/>
    <n v="784.49999999999989"/>
    <n v="116.45384615384614"/>
    <n v="118"/>
    <n v="114.19999999999999"/>
    <n v="113.4"/>
    <n v="112.07142857142856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x v="44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525.3000000000002"/>
    <n v="345.9"/>
    <n v="228.39999999999998"/>
    <n v="111.1"/>
    <n v="786.19999999999993"/>
    <n v="117.33076923076925"/>
    <n v="115.3"/>
    <n v="114.19999999999999"/>
    <n v="111.1"/>
    <n v="112.3142857142857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x v="45"/>
    <n v="116.8"/>
    <n v="118"/>
    <n v="115.2"/>
    <n v="117.6"/>
    <n v="114.3"/>
    <n v="112.5"/>
    <n v="114.1"/>
    <n v="111.8"/>
    <n v="111.3"/>
    <n v="111.2"/>
    <n v="113"/>
    <n v="109.1"/>
    <n v="111.8"/>
    <n v="115.8"/>
    <n v="1518.5000000000005"/>
    <n v="350.79999999999995"/>
    <n v="228.39999999999998"/>
    <n v="112.5"/>
    <n v="784.99999999999989"/>
    <n v="116.80769230769235"/>
    <n v="116.93333333333332"/>
    <n v="114.19999999999999"/>
    <n v="112.5"/>
    <n v="112.14285714285712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x v="46"/>
    <n v="117.3"/>
    <n v="119.7"/>
    <n v="117.3"/>
    <n v="119.3"/>
    <n v="113.9"/>
    <n v="114.4"/>
    <n v="114.9"/>
    <n v="112.8"/>
    <n v="112.2"/>
    <n v="111.4"/>
    <n v="114.3"/>
    <n v="108"/>
    <n v="112.3"/>
    <n v="117"/>
    <n v="1525.6999999999998"/>
    <n v="356.3"/>
    <n v="228.8"/>
    <n v="114.4"/>
    <n v="788.3"/>
    <n v="117.36153846153844"/>
    <n v="118.76666666666667"/>
    <n v="114.4"/>
    <n v="114.4"/>
    <n v="112.61428571428571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x v="47"/>
    <n v="119"/>
    <n v="117.4"/>
    <n v="113.2"/>
    <n v="116.7"/>
    <n v="113.9"/>
    <n v="111.2"/>
    <n v="114.3"/>
    <n v="111.4"/>
    <n v="111.5"/>
    <n v="111.8"/>
    <n v="115.1"/>
    <n v="108.7"/>
    <n v="112.2"/>
    <n v="116.4"/>
    <n v="1547"/>
    <n v="347.3"/>
    <n v="228.2"/>
    <n v="111.2"/>
    <n v="789.7"/>
    <n v="119"/>
    <n v="115.76666666666667"/>
    <n v="114.1"/>
    <n v="111.2"/>
    <n v="112.81428571428572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x v="48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533.7000000000003"/>
    <n v="352.7"/>
    <n v="228.5"/>
    <n v="113.2"/>
    <n v="788.89999999999986"/>
    <n v="117.9769230769231"/>
    <n v="117.56666666666666"/>
    <n v="114.25"/>
    <n v="113.2"/>
    <n v="112.69999999999997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x v="49"/>
    <n v="118"/>
    <n v="120.7"/>
    <n v="118.3"/>
    <n v="120.3"/>
    <n v="114.8"/>
    <n v="115.3"/>
    <n v="115.4"/>
    <n v="113.4"/>
    <n v="113.2"/>
    <n v="111.8"/>
    <n v="115.5"/>
    <n v="108.8"/>
    <n v="113.1"/>
    <n v="119.5"/>
    <n v="1563.2"/>
    <n v="359.3"/>
    <n v="230.2"/>
    <n v="115.3"/>
    <n v="793.80000000000007"/>
    <n v="120.24615384615385"/>
    <n v="119.76666666666667"/>
    <n v="115.1"/>
    <n v="115.3"/>
    <n v="113.4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x v="50"/>
    <n v="121"/>
    <n v="118"/>
    <n v="113.6"/>
    <n v="117.4"/>
    <n v="114.8"/>
    <n v="111.6"/>
    <n v="114.9"/>
    <n v="111.5"/>
    <n v="113"/>
    <n v="112.4"/>
    <n v="117.8"/>
    <n v="109.7"/>
    <n v="113.5"/>
    <n v="118.9"/>
    <n v="1599.5"/>
    <n v="349"/>
    <n v="229.7"/>
    <n v="111.6"/>
    <n v="798.9"/>
    <n v="123.03846153846153"/>
    <n v="116.33333333333333"/>
    <n v="114.85"/>
    <n v="111.6"/>
    <n v="114.12857142857142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x v="51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576.3"/>
    <n v="355"/>
    <n v="230"/>
    <n v="113.9"/>
    <n v="795.99999999999989"/>
    <n v="121.25384615384615"/>
    <n v="118.33333333333333"/>
    <n v="115"/>
    <n v="113.9"/>
    <n v="113.71428571428569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x v="52"/>
    <n v="118.8"/>
    <n v="120.9"/>
    <n v="118.8"/>
    <n v="120.7"/>
    <n v="115.5"/>
    <n v="115.4"/>
    <n v="115.9"/>
    <n v="114"/>
    <n v="113.2"/>
    <n v="112.2"/>
    <n v="116.2"/>
    <n v="109.4"/>
    <n v="113.5"/>
    <n v="120.7"/>
    <n v="1582.2999999999997"/>
    <n v="360.4"/>
    <n v="231.4"/>
    <n v="115.4"/>
    <n v="797.3"/>
    <n v="121.71538461538459"/>
    <n v="120.13333333333333"/>
    <n v="115.7"/>
    <n v="115.4"/>
    <n v="113.89999999999999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x v="53"/>
    <n v="123"/>
    <n v="118.6"/>
    <n v="114.1"/>
    <n v="117.9"/>
    <n v="115.5"/>
    <n v="111.8"/>
    <n v="115.3"/>
    <n v="112.2"/>
    <n v="112.5"/>
    <n v="112.9"/>
    <n v="119.2"/>
    <n v="110.5"/>
    <n v="113.9"/>
    <n v="119.9"/>
    <n v="1617"/>
    <n v="350.6"/>
    <n v="230.8"/>
    <n v="111.8"/>
    <n v="804.19999999999993"/>
    <n v="124.38461538461539"/>
    <n v="116.86666666666667"/>
    <n v="115.4"/>
    <n v="111.8"/>
    <n v="114.88571428571427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x v="54"/>
    <n v="119.9"/>
    <n v="120"/>
    <n v="116.8"/>
    <n v="119.6"/>
    <n v="115.5"/>
    <n v="114"/>
    <n v="115.6"/>
    <n v="113.3"/>
    <n v="112.8"/>
    <n v="112.6"/>
    <n v="118"/>
    <n v="109.9"/>
    <n v="113.7"/>
    <n v="120.3"/>
    <n v="1594.4999999999998"/>
    <n v="356.4"/>
    <n v="231.1"/>
    <n v="114"/>
    <n v="800.2"/>
    <n v="122.65384615384613"/>
    <n v="118.8"/>
    <n v="115.55"/>
    <n v="114"/>
    <n v="114.31428571428572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x v="52"/>
    <n v="119.5"/>
    <n v="121.7"/>
    <n v="119.2"/>
    <n v="121.3"/>
    <n v="116.1"/>
    <n v="115.8"/>
    <n v="116.7"/>
    <n v="114.5"/>
    <n v="112.8"/>
    <n v="112.6"/>
    <n v="116.6"/>
    <n v="109.1"/>
    <n v="113.7"/>
    <n v="120.9"/>
    <n v="1583.2"/>
    <n v="362.2"/>
    <n v="232.8"/>
    <n v="115.8"/>
    <n v="798.80000000000007"/>
    <n v="121.78461538461539"/>
    <n v="120.73333333333333"/>
    <n v="116.4"/>
    <n v="115.8"/>
    <n v="114.11428571428573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x v="55"/>
    <n v="124.3"/>
    <n v="119.2"/>
    <n v="114.5"/>
    <n v="118.4"/>
    <n v="116.1"/>
    <n v="111.8"/>
    <n v="115.5"/>
    <n v="112.3"/>
    <n v="111.2"/>
    <n v="113.4"/>
    <n v="120"/>
    <n v="110"/>
    <n v="113.6"/>
    <n v="119.2"/>
    <n v="1593.7000000000003"/>
    <n v="352.1"/>
    <n v="231.6"/>
    <n v="111.8"/>
    <n v="804.8"/>
    <n v="122.59230769230771"/>
    <n v="117.36666666666667"/>
    <n v="115.8"/>
    <n v="111.8"/>
    <n v="114.97142857142856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x v="56"/>
    <n v="120.8"/>
    <n v="120.7"/>
    <n v="117.2"/>
    <n v="120.1"/>
    <n v="116.1"/>
    <n v="114.3"/>
    <n v="116.1"/>
    <n v="113.7"/>
    <n v="112"/>
    <n v="113.1"/>
    <n v="118.6"/>
    <n v="109.5"/>
    <n v="113.7"/>
    <n v="120.1"/>
    <n v="1586.0999999999997"/>
    <n v="358"/>
    <n v="232.2"/>
    <n v="114.3"/>
    <n v="801.4"/>
    <n v="122.00769230769228"/>
    <n v="119.33333333333333"/>
    <n v="116.1"/>
    <n v="114.3"/>
    <n v="114.48571428571428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x v="57"/>
    <n v="120"/>
    <n v="122.7"/>
    <n v="120.3"/>
    <n v="122.3"/>
    <n v="116.7"/>
    <n v="116.4"/>
    <n v="117.5"/>
    <n v="115.3"/>
    <n v="112.6"/>
    <n v="113"/>
    <n v="116.9"/>
    <n v="109.3"/>
    <n v="114"/>
    <n v="121"/>
    <n v="1581.1999999999998"/>
    <n v="365.3"/>
    <n v="234.2"/>
    <n v="116.4"/>
    <n v="801.09999999999991"/>
    <n v="121.63076923076922"/>
    <n v="121.76666666666667"/>
    <n v="117.1"/>
    <n v="116.4"/>
    <n v="114.44285714285714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x v="56"/>
    <n v="124.3"/>
    <n v="119.6"/>
    <n v="114.9"/>
    <n v="118.9"/>
    <n v="116.7"/>
    <n v="112"/>
    <n v="115.8"/>
    <n v="112.6"/>
    <n v="111"/>
    <n v="113.6"/>
    <n v="120.2"/>
    <n v="110.1"/>
    <n v="113.7"/>
    <n v="119.1"/>
    <n v="1587.5"/>
    <n v="353.4"/>
    <n v="232.5"/>
    <n v="112"/>
    <n v="805.5"/>
    <n v="122.11538461538461"/>
    <n v="117.8"/>
    <n v="116.25"/>
    <n v="112"/>
    <n v="115.07142857142857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x v="58"/>
    <n v="121.1"/>
    <n v="121.5"/>
    <n v="118.1"/>
    <n v="121"/>
    <n v="116.7"/>
    <n v="114.7"/>
    <n v="116.7"/>
    <n v="114.3"/>
    <n v="111.8"/>
    <n v="113.3"/>
    <n v="118.8"/>
    <n v="109.6"/>
    <n v="113.9"/>
    <n v="120.1"/>
    <n v="1582.7"/>
    <n v="360.6"/>
    <n v="233.4"/>
    <n v="114.7"/>
    <n v="802.8"/>
    <n v="121.74615384615385"/>
    <n v="120.2"/>
    <n v="116.7"/>
    <n v="114.7"/>
    <n v="114.68571428571428"/>
  </r>
  <r>
    <x v="0"/>
    <x v="1"/>
    <x v="11"/>
    <n v="122.7"/>
    <n v="122.6"/>
    <n v="119.9"/>
    <n v="124"/>
    <n v="110.5"/>
    <n v="128.80000000000001"/>
    <n v="152"/>
    <n v="116.2"/>
    <n v="103.3"/>
    <n v="115.8"/>
    <n v="116.8"/>
    <n v="124.5"/>
    <x v="59"/>
    <n v="120.8"/>
    <n v="123.3"/>
    <n v="120.5"/>
    <n v="122.9"/>
    <n v="117.1"/>
    <n v="117.3"/>
    <n v="118.1"/>
    <n v="115.9"/>
    <n v="112"/>
    <n v="113.3"/>
    <n v="117.2"/>
    <n v="108.8"/>
    <n v="114.1"/>
    <n v="121.1"/>
    <n v="1582"/>
    <n v="366.70000000000005"/>
    <n v="235.2"/>
    <n v="117.3"/>
    <n v="802.09999999999991"/>
    <n v="121.69230769230769"/>
    <n v="122.23333333333335"/>
    <n v="117.6"/>
    <n v="117.3"/>
    <n v="114.58571428571427"/>
  </r>
  <r>
    <x v="1"/>
    <x v="1"/>
    <x v="11"/>
    <n v="124.5"/>
    <n v="125.6"/>
    <n v="122.7"/>
    <n v="124.6"/>
    <n v="103.2"/>
    <n v="122.2"/>
    <n v="153.19999999999999"/>
    <n v="119.3"/>
    <n v="99.8"/>
    <n v="124.6"/>
    <n v="115.8"/>
    <n v="126.9"/>
    <x v="58"/>
    <n v="125.8"/>
    <n v="120.3"/>
    <n v="115.4"/>
    <n v="119.5"/>
    <n v="117.1"/>
    <n v="112.6"/>
    <n v="116.4"/>
    <n v="113"/>
    <n v="109.7"/>
    <n v="114"/>
    <n v="120.3"/>
    <n v="109.6"/>
    <n v="113.4"/>
    <n v="119"/>
    <n v="1587.8"/>
    <n v="355.2"/>
    <n v="233.5"/>
    <n v="112.6"/>
    <n v="805.8"/>
    <n v="122.13846153846154"/>
    <n v="118.39999999999999"/>
    <n v="116.75"/>
    <n v="112.6"/>
    <n v="115.11428571428571"/>
  </r>
  <r>
    <x v="2"/>
    <x v="1"/>
    <x v="11"/>
    <n v="123.3"/>
    <n v="123.7"/>
    <n v="121"/>
    <n v="124.2"/>
    <n v="107.8"/>
    <n v="125.7"/>
    <n v="152.4"/>
    <n v="117.2"/>
    <n v="102.1"/>
    <n v="118.7"/>
    <n v="116.4"/>
    <n v="125.6"/>
    <x v="57"/>
    <n v="122.1"/>
    <n v="122.1"/>
    <n v="118.4"/>
    <n v="121.6"/>
    <n v="117.1"/>
    <n v="115.5"/>
    <n v="117.3"/>
    <n v="114.8"/>
    <n v="110.8"/>
    <n v="113.7"/>
    <n v="119"/>
    <n v="109.1"/>
    <n v="113.8"/>
    <n v="120.1"/>
    <n v="1583.2"/>
    <n v="362.1"/>
    <n v="234.39999999999998"/>
    <n v="115.5"/>
    <n v="803.3"/>
    <n v="121.78461538461539"/>
    <n v="120.7"/>
    <n v="117.19999999999999"/>
    <n v="115.5"/>
    <n v="114.75714285714285"/>
  </r>
  <r>
    <x v="0"/>
    <x v="1"/>
    <x v="12"/>
    <n v="122.4"/>
    <n v="122.4"/>
    <n v="121.8"/>
    <n v="124.2"/>
    <n v="110.2"/>
    <n v="128.6"/>
    <n v="140.30000000000001"/>
    <n v="116.3"/>
    <n v="102"/>
    <n v="116"/>
    <n v="117.3"/>
    <n v="124.8"/>
    <x v="49"/>
    <n v="121.7"/>
    <n v="123.8"/>
    <n v="120.6"/>
    <n v="123.3"/>
    <n v="116.5"/>
    <n v="117.4"/>
    <n v="118.2"/>
    <n v="116.2"/>
    <n v="111.5"/>
    <n v="113.3"/>
    <n v="117.7"/>
    <n v="109.4"/>
    <n v="114.2"/>
    <n v="120.3"/>
    <n v="1569.6"/>
    <n v="367.7"/>
    <n v="234.7"/>
    <n v="117.4"/>
    <n v="804.00000000000011"/>
    <n v="120.73846153846154"/>
    <n v="122.56666666666666"/>
    <n v="117.35"/>
    <n v="117.4"/>
    <n v="114.85714285714288"/>
  </r>
  <r>
    <x v="1"/>
    <x v="1"/>
    <x v="12"/>
    <n v="124"/>
    <n v="124.7"/>
    <n v="126.3"/>
    <n v="124.9"/>
    <n v="103"/>
    <n v="122.3"/>
    <n v="141"/>
    <n v="120.1"/>
    <n v="97.8"/>
    <n v="125.4"/>
    <n v="116.1"/>
    <n v="127.6"/>
    <x v="60"/>
    <n v="126.4"/>
    <n v="120.7"/>
    <n v="115.8"/>
    <n v="120"/>
    <n v="116.5"/>
    <n v="113"/>
    <n v="116.8"/>
    <n v="113.2"/>
    <n v="108.8"/>
    <n v="114.3"/>
    <n v="120.7"/>
    <n v="110.4"/>
    <n v="113.4"/>
    <n v="118.4"/>
    <n v="1577.1999999999998"/>
    <n v="356.5"/>
    <n v="233.3"/>
    <n v="113"/>
    <n v="807.19999999999993"/>
    <n v="121.32307692307691"/>
    <n v="118.83333333333333"/>
    <n v="116.65"/>
    <n v="113"/>
    <n v="115.3142857142857"/>
  </r>
  <r>
    <x v="2"/>
    <x v="1"/>
    <x v="12"/>
    <n v="122.9"/>
    <n v="123.2"/>
    <n v="123.5"/>
    <n v="124.5"/>
    <n v="107.6"/>
    <n v="125.7"/>
    <n v="140.5"/>
    <n v="117.6"/>
    <n v="100.6"/>
    <n v="119.1"/>
    <n v="116.8"/>
    <n v="126.1"/>
    <x v="61"/>
    <n v="123"/>
    <n v="122.6"/>
    <n v="118.6"/>
    <n v="122"/>
    <n v="116.5"/>
    <n v="115.7"/>
    <n v="117.5"/>
    <n v="115.1"/>
    <n v="110.1"/>
    <n v="113.9"/>
    <n v="119.5"/>
    <n v="109.8"/>
    <n v="113.8"/>
    <n v="119.4"/>
    <n v="1571.6999999999998"/>
    <n v="363.2"/>
    <n v="234"/>
    <n v="115.7"/>
    <n v="805.19999999999993"/>
    <n v="120.89999999999999"/>
    <n v="121.06666666666666"/>
    <n v="117"/>
    <n v="115.7"/>
    <n v="115.02857142857142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x v="62"/>
    <n v="122.7"/>
    <n v="124.4"/>
    <n v="121.6"/>
    <n v="124"/>
    <n v="117.3"/>
    <n v="118.4"/>
    <n v="118.9"/>
    <n v="116.6"/>
    <n v="111"/>
    <n v="114"/>
    <n v="118.2"/>
    <n v="110.2"/>
    <n v="114.5"/>
    <n v="120.3"/>
    <n v="1568.1"/>
    <n v="370"/>
    <n v="236.2"/>
    <n v="118.4"/>
    <n v="807.2"/>
    <n v="120.62307692307692"/>
    <n v="123.33333333333333"/>
    <n v="118.1"/>
    <n v="118.4"/>
    <n v="115.31428571428572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x v="63"/>
    <n v="127.4"/>
    <n v="121"/>
    <n v="116.1"/>
    <n v="120.2"/>
    <n v="117.3"/>
    <n v="113.4"/>
    <n v="117.2"/>
    <n v="113.7"/>
    <n v="107.9"/>
    <n v="114.6"/>
    <n v="120.8"/>
    <n v="111.4"/>
    <n v="113.4"/>
    <n v="118.5"/>
    <n v="1574.8999999999999"/>
    <n v="357.3"/>
    <n v="234.5"/>
    <n v="113.4"/>
    <n v="809.2"/>
    <n v="121.14615384615384"/>
    <n v="119.10000000000001"/>
    <n v="117.25"/>
    <n v="113.4"/>
    <n v="115.60000000000001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x v="64"/>
    <n v="124"/>
    <n v="123.1"/>
    <n v="119.3"/>
    <n v="122.5"/>
    <n v="117.3"/>
    <n v="116.5"/>
    <n v="118.1"/>
    <n v="115.5"/>
    <n v="109.4"/>
    <n v="114.3"/>
    <n v="119.7"/>
    <n v="110.7"/>
    <n v="114"/>
    <n v="119.5"/>
    <n v="1569.3"/>
    <n v="364.9"/>
    <n v="235.39999999999998"/>
    <n v="116.5"/>
    <n v="807.6"/>
    <n v="120.71538461538461"/>
    <n v="121.63333333333333"/>
    <n v="117.69999999999999"/>
    <n v="116.5"/>
    <n v="115.37142857142858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x v="62"/>
    <n v="124.2"/>
    <n v="125.4"/>
    <n v="122.7"/>
    <n v="125"/>
    <n v="118.1"/>
    <n v="120"/>
    <n v="119.6"/>
    <n v="117.7"/>
    <n v="110.9"/>
    <n v="114.8"/>
    <n v="118.7"/>
    <n v="110.8"/>
    <n v="115"/>
    <n v="120.6"/>
    <n v="1570.5999999999997"/>
    <n v="373.1"/>
    <n v="237.7"/>
    <n v="120"/>
    <n v="812.1"/>
    <n v="120.81538461538459"/>
    <n v="124.36666666666667"/>
    <n v="118.85"/>
    <n v="120"/>
    <n v="116.01428571428572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x v="65"/>
    <n v="128.1"/>
    <n v="121.3"/>
    <n v="116.5"/>
    <n v="120.6"/>
    <n v="118.1"/>
    <n v="114"/>
    <n v="117.7"/>
    <n v="114.1"/>
    <n v="106.8"/>
    <n v="114.9"/>
    <n v="120.4"/>
    <n v="111.7"/>
    <n v="113.2"/>
    <n v="118.7"/>
    <n v="1571.1000000000001"/>
    <n v="358.4"/>
    <n v="235.8"/>
    <n v="114"/>
    <n v="809.2"/>
    <n v="120.85384615384616"/>
    <n v="119.46666666666665"/>
    <n v="117.9"/>
    <n v="114"/>
    <n v="115.60000000000001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x v="64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569.3999999999996"/>
    <n v="367.2"/>
    <n v="236.8"/>
    <n v="117.7"/>
    <n v="810.1"/>
    <n v="120.72307692307689"/>
    <n v="122.39999999999999"/>
    <n v="118.4"/>
    <n v="117.7"/>
    <n v="115.72857142857143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x v="64"/>
    <n v="124.7"/>
    <n v="126"/>
    <n v="122.9"/>
    <n v="125.5"/>
    <n v="118.6"/>
    <n v="120.6"/>
    <n v="120.2"/>
    <n v="118.2"/>
    <n v="111.6"/>
    <n v="115.5"/>
    <n v="119.4"/>
    <n v="110.8"/>
    <n v="115.5"/>
    <n v="121.1"/>
    <n v="1571.5"/>
    <n v="374.4"/>
    <n v="238.8"/>
    <n v="120.6"/>
    <n v="815.7"/>
    <n v="120.88461538461539"/>
    <n v="124.8"/>
    <n v="119.4"/>
    <n v="120.6"/>
    <n v="116.52857142857144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x v="66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568.0000000000002"/>
    <n v="359.5"/>
    <n v="236.6"/>
    <n v="114.4"/>
    <n v="812.59999999999991"/>
    <n v="120.61538461538463"/>
    <n v="119.83333333333333"/>
    <n v="118.3"/>
    <n v="114.4"/>
    <n v="116.08571428571427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x v="67"/>
    <n v="125.8"/>
    <n v="124.3"/>
    <n v="120.4"/>
    <n v="123.7"/>
    <n v="118.6"/>
    <n v="118.3"/>
    <n v="119.2"/>
    <n v="116.7"/>
    <n v="109.9"/>
    <n v="115.4"/>
    <n v="120.1"/>
    <n v="111"/>
    <n v="114.7"/>
    <n v="120.2"/>
    <n v="1569.1"/>
    <n v="368.4"/>
    <n v="237.8"/>
    <n v="118.3"/>
    <n v="813.6"/>
    <n v="120.69999999999999"/>
    <n v="122.8"/>
    <n v="118.9"/>
    <n v="118.3"/>
    <n v="116.22857142857143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x v="61"/>
    <n v="125.7"/>
    <n v="126.4"/>
    <n v="123.3"/>
    <n v="126"/>
    <n v="119.2"/>
    <n v="121.2"/>
    <n v="120.9"/>
    <n v="118.6"/>
    <n v="111.9"/>
    <n v="116.2"/>
    <n v="119.9"/>
    <n v="111.6"/>
    <n v="116"/>
    <n v="121.5"/>
    <n v="1577.2"/>
    <n v="375.7"/>
    <n v="240.10000000000002"/>
    <n v="121.2"/>
    <n v="819.90000000000009"/>
    <n v="121.32307692307693"/>
    <n v="125.23333333333333"/>
    <n v="120.05000000000001"/>
    <n v="121.2"/>
    <n v="117.12857142857145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x v="68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576.1"/>
    <n v="360.6"/>
    <n v="237.60000000000002"/>
    <n v="114.7"/>
    <n v="816.40000000000009"/>
    <n v="121.23846153846154"/>
    <n v="120.2"/>
    <n v="118.80000000000001"/>
    <n v="114.7"/>
    <n v="116.62857142857145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x v="60"/>
    <n v="126.9"/>
    <n v="124.7"/>
    <n v="120.8"/>
    <n v="124.1"/>
    <n v="119.2"/>
    <n v="118.7"/>
    <n v="119.7"/>
    <n v="117.1"/>
    <n v="110.1"/>
    <n v="115.9"/>
    <n v="121"/>
    <n v="111.7"/>
    <n v="115.1"/>
    <n v="120.7"/>
    <n v="1575.7"/>
    <n v="369.6"/>
    <n v="238.9"/>
    <n v="118.7"/>
    <n v="817.80000000000007"/>
    <n v="121.20769230769231"/>
    <n v="123.2"/>
    <n v="119.45"/>
    <n v="118.7"/>
    <n v="116.82857142857144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x v="69"/>
    <n v="126.7"/>
    <n v="127.3"/>
    <n v="124.1"/>
    <n v="126.8"/>
    <n v="119.6"/>
    <n v="121.9"/>
    <n v="121.5"/>
    <n v="119.4"/>
    <n v="113.3"/>
    <n v="116.7"/>
    <n v="120.5"/>
    <n v="112.3"/>
    <n v="116.9"/>
    <n v="122.4"/>
    <n v="1587.7"/>
    <n v="378.2"/>
    <n v="241.1"/>
    <n v="121.9"/>
    <n v="825.8"/>
    <n v="122.13076923076923"/>
    <n v="126.06666666666666"/>
    <n v="120.55"/>
    <n v="121.9"/>
    <n v="117.97142857142856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x v="70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598.9"/>
    <n v="361.4"/>
    <n v="238.3"/>
    <n v="114.9"/>
    <n v="822.60000000000014"/>
    <n v="122.9923076923077"/>
    <n v="120.46666666666665"/>
    <n v="119.15"/>
    <n v="114.9"/>
    <n v="117.51428571428573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x v="71"/>
    <n v="127.9"/>
    <n v="125.4"/>
    <n v="121.3"/>
    <n v="124.7"/>
    <n v="119.6"/>
    <n v="119.2"/>
    <n v="120.2"/>
    <n v="117.7"/>
    <n v="112"/>
    <n v="116.3"/>
    <n v="121.4"/>
    <n v="112.3"/>
    <n v="116.1"/>
    <n v="121.6"/>
    <n v="1590.4"/>
    <n v="371.4"/>
    <n v="239.8"/>
    <n v="119.2"/>
    <n v="823.69999999999993"/>
    <n v="122.33846153846154"/>
    <n v="123.8"/>
    <n v="119.9"/>
    <n v="119.2"/>
    <n v="117.67142857142856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x v="54"/>
    <n v="128.19999999999999"/>
    <n v="128.4"/>
    <n v="125.1"/>
    <n v="128"/>
    <n v="119"/>
    <n v="122.6"/>
    <n v="122.8"/>
    <n v="120.4"/>
    <n v="114.2"/>
    <n v="117.9"/>
    <n v="122"/>
    <n v="113"/>
    <n v="117.9"/>
    <n v="124.1"/>
    <n v="1617.8999999999999"/>
    <n v="381.5"/>
    <n v="241.8"/>
    <n v="122.6"/>
    <n v="833.59999999999991"/>
    <n v="124.45384615384614"/>
    <n v="127.16666666666667"/>
    <n v="120.9"/>
    <n v="122.6"/>
    <n v="119.08571428571427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x v="72"/>
    <n v="132.1"/>
    <n v="123.2"/>
    <n v="117.6"/>
    <n v="122.3"/>
    <n v="119"/>
    <n v="115.1"/>
    <n v="119.2"/>
    <n v="115.4"/>
    <n v="111.7"/>
    <n v="116.2"/>
    <n v="123.8"/>
    <n v="112.5"/>
    <n v="116"/>
    <n v="121.7"/>
    <n v="1636.6"/>
    <n v="363.1"/>
    <n v="238.2"/>
    <n v="115.1"/>
    <n v="827.7"/>
    <n v="125.89230769230768"/>
    <n v="121.03333333333335"/>
    <n v="119.1"/>
    <n v="115.1"/>
    <n v="118.24285714285715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x v="7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623.5"/>
    <n v="374.1"/>
    <n v="240.1"/>
    <n v="119.8"/>
    <n v="830.39999999999986"/>
    <n v="124.88461538461539"/>
    <n v="124.7"/>
    <n v="120.05"/>
    <n v="119.8"/>
    <n v="118.62857142857141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x v="74"/>
    <n v="129.4"/>
    <n v="128.80000000000001"/>
    <n v="125.5"/>
    <n v="128.30000000000001"/>
    <n v="119.9"/>
    <n v="123"/>
    <n v="123"/>
    <n v="120.8"/>
    <n v="114.1"/>
    <n v="118"/>
    <n v="122.9"/>
    <n v="112.7"/>
    <n v="118.1"/>
    <n v="124.7"/>
    <n v="1625.3"/>
    <n v="382.6"/>
    <n v="242.9"/>
    <n v="123"/>
    <n v="836"/>
    <n v="125.02307692307691"/>
    <n v="127.53333333333335"/>
    <n v="121.45"/>
    <n v="123"/>
    <n v="119.42857142857143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x v="7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642.8999999999999"/>
    <n v="364.1"/>
    <n v="239.4"/>
    <n v="115.3"/>
    <n v="830.6"/>
    <n v="126.37692307692306"/>
    <n v="121.36666666666667"/>
    <n v="119.7"/>
    <n v="115.3"/>
    <n v="118.65714285714286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x v="76"/>
    <n v="130.4"/>
    <n v="126.7"/>
    <n v="122.3"/>
    <n v="126.1"/>
    <n v="119.9"/>
    <n v="120.1"/>
    <n v="121.3"/>
    <n v="119"/>
    <n v="112.7"/>
    <n v="117.2"/>
    <n v="124.4"/>
    <n v="112.3"/>
    <n v="117.2"/>
    <n v="123.6"/>
    <n v="1630.6000000000001"/>
    <n v="375.1"/>
    <n v="241.2"/>
    <n v="120.1"/>
    <n v="833.19999999999993"/>
    <n v="125.43076923076924"/>
    <n v="125.03333333333335"/>
    <n v="120.6"/>
    <n v="120.1"/>
    <n v="119.02857142857142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x v="77"/>
    <n v="130.1"/>
    <n v="129.5"/>
    <n v="126.3"/>
    <n v="129"/>
    <n v="120.9"/>
    <n v="123.8"/>
    <n v="123.7"/>
    <n v="121.1"/>
    <n v="113.6"/>
    <n v="118.5"/>
    <n v="123.6"/>
    <n v="112.5"/>
    <n v="118.2"/>
    <n v="126.1"/>
    <n v="1646.6"/>
    <n v="384.8"/>
    <n v="244.60000000000002"/>
    <n v="123.8"/>
    <n v="837.6"/>
    <n v="126.66153846153846"/>
    <n v="128.26666666666668"/>
    <n v="122.30000000000001"/>
    <n v="123.8"/>
    <n v="119.65714285714286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x v="78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658.8999999999999"/>
    <n v="364.8"/>
    <n v="240.9"/>
    <n v="115.3"/>
    <n v="832.3"/>
    <n v="127.6076923076923"/>
    <n v="121.60000000000001"/>
    <n v="120.45"/>
    <n v="115.3"/>
    <n v="118.89999999999999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x v="79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649.6"/>
    <n v="376.70000000000005"/>
    <n v="242.9"/>
    <n v="120.6"/>
    <n v="834.7"/>
    <n v="126.89230769230768"/>
    <n v="125.56666666666668"/>
    <n v="121.45"/>
    <n v="120.6"/>
    <n v="119.24285714285715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x v="80"/>
    <n v="131"/>
    <n v="130.4"/>
    <n v="126.8"/>
    <n v="129.9"/>
    <n v="121.6"/>
    <n v="123.7"/>
    <n v="124.5"/>
    <n v="121.4"/>
    <n v="113.8"/>
    <n v="119.6"/>
    <n v="124.5"/>
    <n v="113.7"/>
    <n v="118.8"/>
    <n v="127"/>
    <n v="1657.6000000000001"/>
    <n v="387.1"/>
    <n v="246.1"/>
    <n v="123.7"/>
    <n v="842.8"/>
    <n v="127.50769230769232"/>
    <n v="129.03333333333333"/>
    <n v="123.05"/>
    <n v="123.7"/>
    <n v="120.39999999999999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x v="81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664.8"/>
    <n v="365.8"/>
    <n v="242"/>
    <n v="115.1"/>
    <n v="833.8"/>
    <n v="128.06153846153845"/>
    <n v="121.93333333333334"/>
    <n v="121"/>
    <n v="115.1"/>
    <n v="119.11428571428571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x v="82"/>
    <n v="132"/>
    <n v="127.9"/>
    <n v="123.4"/>
    <n v="127.2"/>
    <n v="121.6"/>
    <n v="120.4"/>
    <n v="122.6"/>
    <n v="119.8"/>
    <n v="111.3"/>
    <n v="118.3"/>
    <n v="125.7"/>
    <n v="113.4"/>
    <n v="117.5"/>
    <n v="125.4"/>
    <n v="1658.3000000000002"/>
    <n v="378.5"/>
    <n v="244.2"/>
    <n v="120.4"/>
    <n v="838"/>
    <n v="127.56153846153848"/>
    <n v="126.16666666666667"/>
    <n v="122.1"/>
    <n v="120.4"/>
    <n v="119.71428571428571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x v="83"/>
    <n v="131.5"/>
    <n v="131.1"/>
    <n v="127.3"/>
    <n v="130.6"/>
    <n v="122.4"/>
    <n v="124.4"/>
    <n v="125.1"/>
    <n v="122"/>
    <n v="113.8"/>
    <n v="120.1"/>
    <n v="125.1"/>
    <n v="114.2"/>
    <n v="119.2"/>
    <n v="127.7"/>
    <n v="1674.6"/>
    <n v="389"/>
    <n v="247.5"/>
    <n v="124.4"/>
    <n v="845.90000000000009"/>
    <n v="128.8153846153846"/>
    <n v="129.66666666666666"/>
    <n v="123.75"/>
    <n v="124.4"/>
    <n v="120.84285714285716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x v="84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692.8000000000002"/>
    <n v="366.79999999999995"/>
    <n v="243.10000000000002"/>
    <n v="114.9"/>
    <n v="836.5"/>
    <n v="130.21538461538464"/>
    <n v="122.26666666666665"/>
    <n v="121.55000000000001"/>
    <n v="114.9"/>
    <n v="119.5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x v="85"/>
    <n v="132.5"/>
    <n v="128.5"/>
    <n v="123.8"/>
    <n v="127.8"/>
    <n v="122.4"/>
    <n v="120.8"/>
    <n v="123"/>
    <n v="120.4"/>
    <n v="111.4"/>
    <n v="118.7"/>
    <n v="125.9"/>
    <n v="113.9"/>
    <n v="117.9"/>
    <n v="126.1"/>
    <n v="1678.9999999999998"/>
    <n v="380.1"/>
    <n v="245.4"/>
    <n v="120.8"/>
    <n v="840.69999999999993"/>
    <n v="129.15384615384613"/>
    <n v="126.7"/>
    <n v="122.7"/>
    <n v="120.8"/>
    <n v="120.1"/>
  </r>
  <r>
    <x v="0"/>
    <x v="2"/>
    <x v="11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x v="86"/>
    <n v="132.19999999999999"/>
    <n v="132.1"/>
    <n v="128.19999999999999"/>
    <n v="131.5"/>
    <n v="122.9"/>
    <n v="125.6"/>
    <n v="125.6"/>
    <n v="122.6"/>
    <n v="114"/>
    <n v="120.9"/>
    <n v="125.8"/>
    <n v="114.2"/>
    <n v="119.6"/>
    <n v="128.30000000000001"/>
    <n v="1686.3"/>
    <n v="391.79999999999995"/>
    <n v="248.5"/>
    <n v="125.6"/>
    <n v="849.3"/>
    <n v="129.71538461538461"/>
    <n v="130.6"/>
    <n v="124.25"/>
    <n v="125.6"/>
    <n v="121.32857142857142"/>
  </r>
  <r>
    <x v="1"/>
    <x v="2"/>
    <x v="11"/>
    <n v="124"/>
    <n v="129.80000000000001"/>
    <n v="121.5"/>
    <n v="128.6"/>
    <n v="110"/>
    <n v="123.7"/>
    <n v="164.6"/>
    <n v="191.6"/>
    <n v="90.8"/>
    <n v="137.1"/>
    <n v="119.8"/>
    <n v="133.69999999999999"/>
    <x v="87"/>
    <n v="137.6"/>
    <n v="125"/>
    <n v="119.3"/>
    <n v="124.2"/>
    <n v="122.9"/>
    <n v="115.1"/>
    <n v="121"/>
    <n v="118.1"/>
    <n v="109.3"/>
    <n v="117.9"/>
    <n v="126.6"/>
    <n v="113.3"/>
    <n v="116.6"/>
    <n v="124.6"/>
    <n v="1708.4999999999998"/>
    <n v="368.5"/>
    <n v="243.9"/>
    <n v="115.1"/>
    <n v="839.4"/>
    <n v="131.42307692307691"/>
    <n v="122.83333333333333"/>
    <n v="121.95"/>
    <n v="115.1"/>
    <n v="119.91428571428571"/>
  </r>
  <r>
    <x v="2"/>
    <x v="2"/>
    <x v="1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x v="88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692.1"/>
    <n v="382.4"/>
    <n v="246.3"/>
    <n v="121.6"/>
    <n v="843.40000000000009"/>
    <n v="130.16153846153844"/>
    <n v="127.46666666666665"/>
    <n v="123.15"/>
    <n v="121.6"/>
    <n v="120.48571428571429"/>
  </r>
  <r>
    <x v="0"/>
    <x v="2"/>
    <x v="12"/>
    <n v="126.3"/>
    <n v="131.30000000000001"/>
    <n v="123.3"/>
    <n v="129.80000000000001"/>
    <n v="118.3"/>
    <n v="131.6"/>
    <n v="145.5"/>
    <n v="162.1"/>
    <n v="95.4"/>
    <n v="128.9"/>
    <n v="123.3"/>
    <n v="135.1"/>
    <x v="89"/>
    <n v="133.1"/>
    <n v="132.5"/>
    <n v="128.5"/>
    <n v="131.9"/>
    <n v="122.4"/>
    <n v="125.7"/>
    <n v="126"/>
    <n v="123.1"/>
    <n v="114"/>
    <n v="121.6"/>
    <n v="125.6"/>
    <n v="114.1"/>
    <n v="119.8"/>
    <n v="127.9"/>
    <n v="1682.3000000000002"/>
    <n v="392.9"/>
    <n v="248.4"/>
    <n v="125.7"/>
    <n v="851.3"/>
    <n v="129.40769230769232"/>
    <n v="130.96666666666667"/>
    <n v="124.2"/>
    <n v="125.7"/>
    <n v="121.61428571428571"/>
  </r>
  <r>
    <x v="1"/>
    <x v="2"/>
    <x v="12"/>
    <n v="124.3"/>
    <n v="131.69999999999999"/>
    <n v="127.1"/>
    <n v="128.6"/>
    <n v="110"/>
    <n v="120.8"/>
    <n v="149"/>
    <n v="190.1"/>
    <n v="92.7"/>
    <n v="138.6"/>
    <n v="120.2"/>
    <n v="134.19999999999999"/>
    <x v="81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698.8"/>
    <n v="369.4"/>
    <n v="243.4"/>
    <n v="116"/>
    <n v="840.7"/>
    <n v="130.67692307692306"/>
    <n v="123.13333333333333"/>
    <n v="121.7"/>
    <n v="116"/>
    <n v="120.10000000000001"/>
  </r>
  <r>
    <x v="2"/>
    <x v="2"/>
    <x v="12"/>
    <n v="125.7"/>
    <n v="131.4"/>
    <n v="124.8"/>
    <n v="129.4"/>
    <n v="115.3"/>
    <n v="126.6"/>
    <n v="146.69999999999999"/>
    <n v="171.5"/>
    <n v="94.5"/>
    <n v="132.1"/>
    <n v="122"/>
    <n v="134.69999999999999"/>
    <x v="89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686.1000000000001"/>
    <n v="383.5"/>
    <n v="246"/>
    <n v="122"/>
    <n v="845.19999999999993"/>
    <n v="129.70000000000002"/>
    <n v="127.83333333333333"/>
    <n v="123"/>
    <n v="122"/>
    <n v="120.74285714285713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x v="89"/>
    <n v="133.6"/>
    <n v="133.19999999999999"/>
    <n v="128.9"/>
    <n v="132.6"/>
    <n v="123.4"/>
    <n v="126.2"/>
    <n v="126.6"/>
    <n v="123.7"/>
    <n v="113.6"/>
    <n v="121.4"/>
    <n v="126.2"/>
    <n v="114.9"/>
    <n v="120.1"/>
    <n v="128.1"/>
    <n v="1690.1000000000001"/>
    <n v="394.70000000000005"/>
    <n v="250"/>
    <n v="126.2"/>
    <n v="853.50000000000011"/>
    <n v="130.00769230769231"/>
    <n v="131.56666666666669"/>
    <n v="125"/>
    <n v="126.2"/>
    <n v="121.92857142857144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x v="82"/>
    <n v="139.5"/>
    <n v="125.8"/>
    <n v="119.8"/>
    <n v="124.9"/>
    <n v="123.4"/>
    <n v="116.9"/>
    <n v="121.6"/>
    <n v="119.1"/>
    <n v="108.9"/>
    <n v="118.5"/>
    <n v="126.4"/>
    <n v="114"/>
    <n v="116.8"/>
    <n v="124.2"/>
    <n v="1701.4"/>
    <n v="370.5"/>
    <n v="245"/>
    <n v="116.9"/>
    <n v="843.19999999999993"/>
    <n v="130.87692307692308"/>
    <n v="123.5"/>
    <n v="122.5"/>
    <n v="116.9"/>
    <n v="120.45714285714284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x v="90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691.7"/>
    <n v="384.9"/>
    <n v="247.60000000000002"/>
    <n v="122.7"/>
    <n v="847.40000000000009"/>
    <n v="130.13076923076923"/>
    <n v="128.29999999999998"/>
    <n v="123.80000000000001"/>
    <n v="122.7"/>
    <n v="121.05714285714286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x v="79"/>
    <n v="134.4"/>
    <n v="133.9"/>
    <n v="129.80000000000001"/>
    <n v="133.4"/>
    <n v="124.4"/>
    <n v="127.5"/>
    <n v="127.1"/>
    <n v="124.3"/>
    <n v="113.9"/>
    <n v="122.3"/>
    <n v="127.1"/>
    <n v="116.8"/>
    <n v="120.9"/>
    <n v="127.9"/>
    <n v="1682.6"/>
    <n v="397.1"/>
    <n v="251.5"/>
    <n v="127.5"/>
    <n v="859.69999999999993"/>
    <n v="129.43076923076922"/>
    <n v="132.36666666666667"/>
    <n v="125.75"/>
    <n v="127.5"/>
    <n v="122.8142857142857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x v="91"/>
    <n v="140"/>
    <n v="126.2"/>
    <n v="120.1"/>
    <n v="125.3"/>
    <n v="124.4"/>
    <n v="116"/>
    <n v="121.8"/>
    <n v="119.5"/>
    <n v="109.1"/>
    <n v="118.8"/>
    <n v="126.3"/>
    <n v="116.2"/>
    <n v="117.2"/>
    <n v="123.8"/>
    <n v="1676.1"/>
    <n v="371.6"/>
    <n v="246.2"/>
    <n v="116"/>
    <n v="847.1"/>
    <n v="128.93076923076922"/>
    <n v="123.86666666666667"/>
    <n v="123.1"/>
    <n v="116"/>
    <n v="121.01428571428572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x v="92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678.1"/>
    <n v="386.9"/>
    <n v="249"/>
    <n v="123.1"/>
    <n v="852.4"/>
    <n v="129.08461538461538"/>
    <n v="128.96666666666667"/>
    <n v="124.5"/>
    <n v="123.1"/>
    <n v="121.77142857142857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x v="93"/>
    <n v="135"/>
    <n v="134.4"/>
    <n v="130.19999999999999"/>
    <n v="133.80000000000001"/>
    <n v="124.9"/>
    <n v="127"/>
    <n v="127.7"/>
    <n v="124.8"/>
    <n v="113.6"/>
    <n v="122.5"/>
    <n v="127.5"/>
    <n v="117.4"/>
    <n v="121.1"/>
    <n v="128"/>
    <n v="1682.7000000000003"/>
    <n v="398.40000000000003"/>
    <n v="252.60000000000002"/>
    <n v="127"/>
    <n v="861.9"/>
    <n v="129.43846153846155"/>
    <n v="132.80000000000001"/>
    <n v="126.30000000000001"/>
    <n v="127"/>
    <n v="123.12857142857142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x v="53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667.6000000000001"/>
    <n v="372.2"/>
    <n v="247.2"/>
    <n v="114.8"/>
    <n v="848.69999999999993"/>
    <n v="128.27692307692308"/>
    <n v="124.06666666666666"/>
    <n v="123.6"/>
    <n v="114.8"/>
    <n v="121.24285714285713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x v="77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675.2"/>
    <n v="387.9"/>
    <n v="250"/>
    <n v="122.4"/>
    <n v="854.39999999999986"/>
    <n v="128.86153846153846"/>
    <n v="129.29999999999998"/>
    <n v="125"/>
    <n v="122.4"/>
    <n v="122.05714285714284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x v="83"/>
    <n v="135.5"/>
    <n v="135"/>
    <n v="130.6"/>
    <n v="134.4"/>
    <n v="125.6"/>
    <n v="127"/>
    <n v="128"/>
    <n v="125.2"/>
    <n v="114.4"/>
    <n v="123.2"/>
    <n v="127.9"/>
    <n v="118.4"/>
    <n v="121.7"/>
    <n v="129"/>
    <n v="1701.6000000000004"/>
    <n v="400"/>
    <n v="253.6"/>
    <n v="127"/>
    <n v="866.30000000000007"/>
    <n v="130.89230769230772"/>
    <n v="133.33333333333334"/>
    <n v="126.8"/>
    <n v="127"/>
    <n v="123.75714285714287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x v="83"/>
    <n v="141.5"/>
    <n v="126.8"/>
    <n v="120.5"/>
    <n v="125.8"/>
    <n v="125.6"/>
    <n v="114.6"/>
    <n v="122.8"/>
    <n v="120"/>
    <n v="110"/>
    <n v="119.5"/>
    <n v="127.6"/>
    <n v="117.6"/>
    <n v="118.2"/>
    <n v="125.3"/>
    <n v="1706.3"/>
    <n v="373.1"/>
    <n v="248.39999999999998"/>
    <n v="114.6"/>
    <n v="854.40000000000009"/>
    <n v="131.25384615384615"/>
    <n v="124.36666666666667"/>
    <n v="124.19999999999999"/>
    <n v="114.6"/>
    <n v="122.05714285714286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x v="83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701.3"/>
    <n v="389.20000000000005"/>
    <n v="251.1"/>
    <n v="122.3"/>
    <n v="859.3"/>
    <n v="130.86923076923077"/>
    <n v="129.73333333333335"/>
    <n v="125.55"/>
    <n v="122.3"/>
    <n v="122.75714285714285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x v="94"/>
    <n v="136"/>
    <n v="135.4"/>
    <n v="131.1"/>
    <n v="134.80000000000001"/>
    <n v="126"/>
    <n v="127.4"/>
    <n v="128.5"/>
    <n v="125.8"/>
    <n v="115.1"/>
    <n v="123.6"/>
    <n v="129.1"/>
    <n v="119.7"/>
    <n v="122.5"/>
    <n v="130.30000000000001"/>
    <n v="1723.6999999999998"/>
    <n v="401.3"/>
    <n v="254.5"/>
    <n v="127.4"/>
    <n v="871.80000000000007"/>
    <n v="132.59230769230768"/>
    <n v="133.76666666666668"/>
    <n v="127.25"/>
    <n v="127.4"/>
    <n v="124.54285714285716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x v="95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746.7999999999997"/>
    <n v="374.1"/>
    <n v="249.2"/>
    <n v="115"/>
    <n v="858.2"/>
    <n v="134.36923076923074"/>
    <n v="124.7"/>
    <n v="124.6"/>
    <n v="115"/>
    <n v="122.60000000000001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x v="96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730.4"/>
    <n v="390.4"/>
    <n v="252"/>
    <n v="122.7"/>
    <n v="864.10000000000014"/>
    <n v="133.1076923076923"/>
    <n v="130.13333333333333"/>
    <n v="126"/>
    <n v="122.7"/>
    <n v="123.44285714285716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x v="97"/>
    <n v="137.19999999999999"/>
    <n v="136.30000000000001"/>
    <n v="131.6"/>
    <n v="135.6"/>
    <n v="125.5"/>
    <n v="128"/>
    <n v="129.30000000000001"/>
    <n v="126.2"/>
    <n v="116.3"/>
    <n v="124.1"/>
    <n v="130.19999999999999"/>
    <n v="119.9"/>
    <n v="123.3"/>
    <n v="131.9"/>
    <n v="1748.6"/>
    <n v="403.5"/>
    <n v="254.8"/>
    <n v="128"/>
    <n v="877.2"/>
    <n v="134.50769230769231"/>
    <n v="134.5"/>
    <n v="127.4"/>
    <n v="128"/>
    <n v="125.31428571428572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x v="98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787.0000000000002"/>
    <n v="375.29999999999995"/>
    <n v="248.7"/>
    <n v="115.5"/>
    <n v="863.2"/>
    <n v="137.46153846153848"/>
    <n v="125.09999999999998"/>
    <n v="124.35"/>
    <n v="115.5"/>
    <n v="123.31428571428572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x v="99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760.6"/>
    <n v="392.1"/>
    <n v="251.9"/>
    <n v="123.3"/>
    <n v="869.3"/>
    <n v="135.43076923076922"/>
    <n v="130.70000000000002"/>
    <n v="125.95"/>
    <n v="123.3"/>
    <n v="124.18571428571428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x v="100"/>
    <n v="138"/>
    <n v="137.19999999999999"/>
    <n v="132.19999999999999"/>
    <n v="136.5"/>
    <n v="126.4"/>
    <n v="128.19999999999999"/>
    <n v="130"/>
    <n v="126.7"/>
    <n v="116.4"/>
    <n v="125.2"/>
    <n v="130.80000000000001"/>
    <n v="120.9"/>
    <n v="123.8"/>
    <n v="133"/>
    <n v="1770.2999999999997"/>
    <n v="405.9"/>
    <n v="256.39999999999998"/>
    <n v="128.19999999999999"/>
    <n v="881.8"/>
    <n v="136.17692307692306"/>
    <n v="135.29999999999998"/>
    <n v="128.19999999999999"/>
    <n v="128.19999999999999"/>
    <n v="125.97142857142856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x v="1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811.5000000000002"/>
    <n v="375.9"/>
    <n v="249.9"/>
    <n v="115.5"/>
    <n v="866.5"/>
    <n v="139.34615384615387"/>
    <n v="125.3"/>
    <n v="124.95"/>
    <n v="115.5"/>
    <n v="123.78571428571429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x v="102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783.5"/>
    <n v="393.8"/>
    <n v="253.3"/>
    <n v="123.4"/>
    <n v="873.3"/>
    <n v="137.19230769230768"/>
    <n v="131.26666666666668"/>
    <n v="126.65"/>
    <n v="123.4"/>
    <n v="124.75714285714285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x v="103"/>
    <n v="138.9"/>
    <n v="137.80000000000001"/>
    <n v="133"/>
    <n v="137.1"/>
    <n v="127.3"/>
    <n v="129.1"/>
    <n v="130.6"/>
    <n v="127"/>
    <n v="116"/>
    <n v="125.5"/>
    <n v="131.9"/>
    <n v="122"/>
    <n v="124.2"/>
    <n v="133.5"/>
    <n v="1777.4999999999998"/>
    <n v="407.9"/>
    <n v="257.89999999999998"/>
    <n v="129.1"/>
    <n v="885.5"/>
    <n v="136.73076923076923"/>
    <n v="135.96666666666667"/>
    <n v="128.94999999999999"/>
    <n v="129.1"/>
    <n v="126.5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x v="100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783.9999999999995"/>
    <n v="377"/>
    <n v="251.2"/>
    <n v="114.7"/>
    <n v="868.1"/>
    <n v="137.2307692307692"/>
    <n v="125.66666666666667"/>
    <n v="125.6"/>
    <n v="114.7"/>
    <n v="124.01428571428572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x v="104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777.9"/>
    <n v="395.49999999999994"/>
    <n v="254.7"/>
    <n v="123.6"/>
    <n v="876.09999999999991"/>
    <n v="136.76153846153846"/>
    <n v="131.83333333333331"/>
    <n v="127.35"/>
    <n v="123.6"/>
    <n v="125.15714285714284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x v="105"/>
    <n v="139.9"/>
    <n v="138.5"/>
    <n v="133.5"/>
    <n v="137.80000000000001"/>
    <n v="127.9"/>
    <n v="129.69999999999999"/>
    <n v="131.1"/>
    <n v="127.8"/>
    <n v="117"/>
    <n v="125.7"/>
    <n v="132.19999999999999"/>
    <n v="122.8"/>
    <n v="124.9"/>
    <n v="133.4"/>
    <n v="1770.7"/>
    <n v="409.8"/>
    <n v="259"/>
    <n v="129.69999999999999"/>
    <n v="890.3"/>
    <n v="136.2076923076923"/>
    <n v="136.6"/>
    <n v="129.5"/>
    <n v="129.69999999999999"/>
    <n v="127.18571428571428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x v="106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756.3999999999996"/>
    <n v="378"/>
    <n v="252.2"/>
    <n v="114.8"/>
    <n v="871.2"/>
    <n v="135.10769230769228"/>
    <n v="126"/>
    <n v="126.1"/>
    <n v="114.8"/>
    <n v="124.45714285714287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x v="107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763.6999999999998"/>
    <n v="397"/>
    <n v="255.8"/>
    <n v="124.1"/>
    <n v="880.3"/>
    <n v="135.66923076923075"/>
    <n v="132.33333333333334"/>
    <n v="127.9"/>
    <n v="124.1"/>
    <n v="125.75714285714285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x v="108"/>
    <n v="140.9"/>
    <n v="139.6"/>
    <n v="134.30000000000001"/>
    <n v="138.80000000000001"/>
    <n v="128.69999999999999"/>
    <n v="129.80000000000001"/>
    <n v="131.80000000000001"/>
    <n v="128.69999999999999"/>
    <n v="117.8"/>
    <n v="126.5"/>
    <n v="133"/>
    <n v="123"/>
    <n v="125.7"/>
    <n v="133.80000000000001"/>
    <n v="1771.8000000000002"/>
    <n v="412.7"/>
    <n v="260.5"/>
    <n v="129.80000000000001"/>
    <n v="895.6"/>
    <n v="136.2923076923077"/>
    <n v="137.56666666666666"/>
    <n v="130.25"/>
    <n v="129.80000000000001"/>
    <n v="127.94285714285715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x v="109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762.8999999999999"/>
    <n v="379"/>
    <n v="253.2"/>
    <n v="115.2"/>
    <n v="873.7"/>
    <n v="135.6076923076923"/>
    <n v="126.33333333333333"/>
    <n v="126.6"/>
    <n v="115.2"/>
    <n v="124.81428571428572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x v="110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766.7999999999995"/>
    <n v="399.1"/>
    <n v="257.10000000000002"/>
    <n v="124.3"/>
    <n v="884.5"/>
    <n v="135.90769230769226"/>
    <n v="133.03333333333333"/>
    <n v="128.55000000000001"/>
    <n v="124.3"/>
    <n v="126.35714285714286"/>
  </r>
  <r>
    <x v="0"/>
    <x v="3"/>
    <x v="1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x v="107"/>
    <n v="141.19999999999999"/>
    <n v="139.9"/>
    <n v="134.5"/>
    <n v="139.19999999999999"/>
    <n v="129.1"/>
    <n v="130.30000000000001"/>
    <n v="132.1"/>
    <n v="129.1"/>
    <n v="118.2"/>
    <n v="126.9"/>
    <n v="133.69999999999999"/>
    <n v="123.5"/>
    <n v="126.1"/>
    <n v="133.6"/>
    <n v="1764.6"/>
    <n v="413.59999999999997"/>
    <n v="261.2"/>
    <n v="130.30000000000001"/>
    <n v="898.7"/>
    <n v="135.73846153846154"/>
    <n v="137.86666666666665"/>
    <n v="130.6"/>
    <n v="130.30000000000001"/>
    <n v="128.3857142857143"/>
  </r>
  <r>
    <x v="1"/>
    <x v="3"/>
    <x v="11"/>
    <n v="130.19999999999999"/>
    <n v="138.5"/>
    <n v="134.1"/>
    <n v="132.9"/>
    <n v="112.6"/>
    <n v="130.80000000000001"/>
    <n v="142"/>
    <n v="174.9"/>
    <n v="115.6"/>
    <n v="145.4"/>
    <n v="122.7"/>
    <n v="140.30000000000001"/>
    <x v="111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755.2"/>
    <n v="380.2"/>
    <n v="253.8"/>
    <n v="116.2"/>
    <n v="876.19999999999982"/>
    <n v="135.01538461538462"/>
    <n v="126.73333333333333"/>
    <n v="126.9"/>
    <n v="116.2"/>
    <n v="125.17142857142855"/>
  </r>
  <r>
    <x v="2"/>
    <x v="3"/>
    <x v="11"/>
    <n v="131.4"/>
    <n v="137.80000000000001"/>
    <n v="132"/>
    <n v="135"/>
    <n v="118"/>
    <n v="134.1"/>
    <n v="141.9"/>
    <n v="171.7"/>
    <n v="114.1"/>
    <n v="139.69999999999999"/>
    <n v="126.2"/>
    <n v="141.80000000000001"/>
    <x v="112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759.8"/>
    <n v="400.1"/>
    <n v="257.7"/>
    <n v="125"/>
    <n v="887.3"/>
    <n v="135.36923076923077"/>
    <n v="133.36666666666667"/>
    <n v="128.85"/>
    <n v="125"/>
    <n v="126.75714285714285"/>
  </r>
  <r>
    <x v="0"/>
    <x v="3"/>
    <x v="12"/>
    <n v="132.6"/>
    <n v="137.30000000000001"/>
    <n v="131.6"/>
    <n v="136.30000000000001"/>
    <n v="121.6"/>
    <n v="135.6"/>
    <n v="127.5"/>
    <n v="167.9"/>
    <n v="113.8"/>
    <n v="137.5"/>
    <n v="129.1"/>
    <n v="143.6"/>
    <x v="113"/>
    <n v="142.4"/>
    <n v="140.4"/>
    <n v="135.19999999999999"/>
    <n v="139.69999999999999"/>
    <n v="128.5"/>
    <n v="132"/>
    <n v="132.9"/>
    <n v="129.69999999999999"/>
    <n v="118.6"/>
    <n v="127.3"/>
    <n v="134.19999999999999"/>
    <n v="121.9"/>
    <n v="126.3"/>
    <n v="132.80000000000001"/>
    <n v="1749.1"/>
    <n v="415.3"/>
    <n v="261.39999999999998"/>
    <n v="132"/>
    <n v="900.39999999999986"/>
    <n v="134.54615384615383"/>
    <n v="138.43333333333334"/>
    <n v="130.69999999999999"/>
    <n v="132"/>
    <n v="128.62857142857141"/>
  </r>
  <r>
    <x v="1"/>
    <x v="3"/>
    <x v="12"/>
    <n v="131.6"/>
    <n v="138.19999999999999"/>
    <n v="134.9"/>
    <n v="133.1"/>
    <n v="113.5"/>
    <n v="129.30000000000001"/>
    <n v="121.1"/>
    <n v="170.3"/>
    <n v="115.5"/>
    <n v="145.5"/>
    <n v="123.1"/>
    <n v="140.9"/>
    <x v="114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729.8"/>
    <n v="381"/>
    <n v="253.5"/>
    <n v="117.8"/>
    <n v="876.4"/>
    <n v="133.06153846153845"/>
    <n v="127"/>
    <n v="126.75"/>
    <n v="117.8"/>
    <n v="125.2"/>
  </r>
  <r>
    <x v="2"/>
    <x v="3"/>
    <x v="12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x v="96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740.7"/>
    <n v="401.5"/>
    <n v="257.7"/>
    <n v="126.6"/>
    <n v="888.30000000000007"/>
    <n v="133.9"/>
    <n v="133.83333333333334"/>
    <n v="128.85"/>
    <n v="126.6"/>
    <n v="126.9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x v="115"/>
    <n v="143.1"/>
    <n v="140.69999999999999"/>
    <n v="135.80000000000001"/>
    <n v="140"/>
    <n v="129.6"/>
    <n v="132.1"/>
    <n v="133.19999999999999"/>
    <n v="129.9"/>
    <n v="119.1"/>
    <n v="127"/>
    <n v="134.6"/>
    <n v="122.3"/>
    <n v="126.6"/>
    <n v="132.4"/>
    <n v="1737.3000000000002"/>
    <n v="416.5"/>
    <n v="262.79999999999995"/>
    <n v="132.1"/>
    <n v="902.6"/>
    <n v="133.63846153846154"/>
    <n v="138.83333333333334"/>
    <n v="131.39999999999998"/>
    <n v="132.1"/>
    <n v="128.94285714285715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x v="116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713.2"/>
    <n v="381.5"/>
    <n v="254.7"/>
    <n v="118"/>
    <n v="880.80000000000007"/>
    <n v="131.78461538461539"/>
    <n v="127.16666666666667"/>
    <n v="127.35"/>
    <n v="118"/>
    <n v="125.82857142857144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x v="117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727.2999999999995"/>
    <n v="402.4"/>
    <n v="259"/>
    <n v="126.8"/>
    <n v="891.5"/>
    <n v="132.86923076923074"/>
    <n v="134.13333333333333"/>
    <n v="129.5"/>
    <n v="126.8"/>
    <n v="127.35714285714286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x v="94"/>
    <n v="143.69999999999999"/>
    <n v="140.9"/>
    <n v="135.80000000000001"/>
    <n v="140.19999999999999"/>
    <n v="130.5"/>
    <n v="133.19999999999999"/>
    <n v="133.6"/>
    <n v="130.1"/>
    <n v="119.5"/>
    <n v="127.7"/>
    <n v="134.9"/>
    <n v="123.2"/>
    <n v="127"/>
    <n v="132.6"/>
    <n v="1734.5000000000002"/>
    <n v="416.90000000000003"/>
    <n v="264.10000000000002"/>
    <n v="133.19999999999999"/>
    <n v="906.10000000000014"/>
    <n v="133.42307692307693"/>
    <n v="138.96666666666667"/>
    <n v="132.05000000000001"/>
    <n v="133.19999999999999"/>
    <n v="129.44285714285715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x v="85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705.3000000000002"/>
    <n v="382.3"/>
    <n v="255.8"/>
    <n v="119.2"/>
    <n v="883.40000000000009"/>
    <n v="131.17692307692309"/>
    <n v="127.43333333333334"/>
    <n v="127.9"/>
    <n v="119.2"/>
    <n v="126.20000000000002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x v="118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722.3000000000002"/>
    <n v="403"/>
    <n v="260.2"/>
    <n v="127.9"/>
    <n v="894.59999999999991"/>
    <n v="132.48461538461541"/>
    <n v="134.33333333333334"/>
    <n v="130.1"/>
    <n v="127.9"/>
    <n v="127.79999999999998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x v="119"/>
    <n v="144.19999999999999"/>
    <n v="141.6"/>
    <n v="136.19999999999999"/>
    <n v="140.80000000000001"/>
    <n v="131.1"/>
    <n v="134.19999999999999"/>
    <n v="134.1"/>
    <n v="130.6"/>
    <n v="119.8"/>
    <n v="128.30000000000001"/>
    <n v="135.19999999999999"/>
    <n v="123.3"/>
    <n v="127.4"/>
    <n v="132.80000000000001"/>
    <n v="1728.5000000000002"/>
    <n v="418.59999999999997"/>
    <n v="265.2"/>
    <n v="134.19999999999999"/>
    <n v="908.8"/>
    <n v="132.96153846153848"/>
    <n v="139.53333333333333"/>
    <n v="132.6"/>
    <n v="134.19999999999999"/>
    <n v="129.82857142857142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x v="84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705.6999999999998"/>
    <n v="383.20000000000005"/>
    <n v="256.7"/>
    <n v="120.8"/>
    <n v="885.7"/>
    <n v="131.2076923076923"/>
    <n v="127.73333333333335"/>
    <n v="128.35"/>
    <n v="120.8"/>
    <n v="126.52857142857144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x v="117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718.9"/>
    <n v="404.29999999999995"/>
    <n v="261.2"/>
    <n v="129.1"/>
    <n v="897"/>
    <n v="132.22307692307692"/>
    <n v="134.76666666666665"/>
    <n v="130.6"/>
    <n v="129.1"/>
    <n v="128.14285714285714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x v="120"/>
    <n v="144.4"/>
    <n v="142.4"/>
    <n v="136.80000000000001"/>
    <n v="141.6"/>
    <n v="131.69999999999999"/>
    <n v="135"/>
    <n v="134.30000000000001"/>
    <n v="131"/>
    <n v="119.2"/>
    <n v="128.30000000000001"/>
    <n v="135.69999999999999"/>
    <n v="123.7"/>
    <n v="127.5"/>
    <n v="132.9"/>
    <n v="1726.3"/>
    <n v="420.80000000000007"/>
    <n v="266"/>
    <n v="135"/>
    <n v="909.80000000000007"/>
    <n v="132.7923076923077"/>
    <n v="140.26666666666668"/>
    <n v="133"/>
    <n v="135"/>
    <n v="129.97142857142859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x v="119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708.1"/>
    <n v="384.2"/>
    <n v="257.7"/>
    <n v="121.4"/>
    <n v="886.6"/>
    <n v="131.3923076923077"/>
    <n v="128.06666666666666"/>
    <n v="128.85"/>
    <n v="121.4"/>
    <n v="126.65714285714286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x v="120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718.4"/>
    <n v="406.1"/>
    <n v="262.10000000000002"/>
    <n v="129.80000000000001"/>
    <n v="897.9"/>
    <n v="132.1846153846154"/>
    <n v="135.36666666666667"/>
    <n v="131.05000000000001"/>
    <n v="129.80000000000001"/>
    <n v="128.27142857142857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x v="121"/>
    <n v="145.5"/>
    <n v="142.5"/>
    <n v="137.30000000000001"/>
    <n v="141.80000000000001"/>
    <n v="132.1"/>
    <n v="135"/>
    <n v="134.9"/>
    <n v="131.4"/>
    <n v="119.4"/>
    <n v="129.4"/>
    <n v="136.30000000000001"/>
    <n v="123.7"/>
    <n v="127.9"/>
    <n v="133.30000000000001"/>
    <n v="1727.4999999999995"/>
    <n v="421.6"/>
    <n v="267"/>
    <n v="135"/>
    <n v="913.6"/>
    <n v="132.88461538461536"/>
    <n v="140.53333333333333"/>
    <n v="133.5"/>
    <n v="135"/>
    <n v="130.51428571428571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x v="94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709.6"/>
    <n v="384.9"/>
    <n v="258.60000000000002"/>
    <n v="120.1"/>
    <n v="887.40000000000009"/>
    <n v="131.50769230769231"/>
    <n v="128.29999999999998"/>
    <n v="129.30000000000001"/>
    <n v="120.1"/>
    <n v="126.77142857142859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x v="115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719.6000000000001"/>
    <n v="406.8"/>
    <n v="263"/>
    <n v="129.4"/>
    <n v="900.09999999999991"/>
    <n v="132.27692307692308"/>
    <n v="135.6"/>
    <n v="131.5"/>
    <n v="129.4"/>
    <n v="128.58571428571426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x v="122"/>
    <n v="145.80000000000001"/>
    <n v="143.1"/>
    <n v="137.69999999999999"/>
    <n v="142.30000000000001"/>
    <n v="131.4"/>
    <n v="134.80000000000001"/>
    <n v="135.19999999999999"/>
    <n v="131.30000000000001"/>
    <n v="119.4"/>
    <n v="129.80000000000001"/>
    <n v="136.9"/>
    <n v="124.1"/>
    <n v="128.1"/>
    <n v="133.9"/>
    <n v="1738.8000000000002"/>
    <n v="423.09999999999997"/>
    <n v="266.60000000000002"/>
    <n v="134.80000000000001"/>
    <n v="915.40000000000009"/>
    <n v="133.75384615384615"/>
    <n v="141.03333333333333"/>
    <n v="133.30000000000001"/>
    <n v="134.80000000000001"/>
    <n v="130.77142857142857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x v="106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731.0000000000002"/>
    <n v="384.9"/>
    <n v="258.2"/>
    <n v="119"/>
    <n v="888.70000000000016"/>
    <n v="133.15384615384616"/>
    <n v="128.29999999999998"/>
    <n v="129.1"/>
    <n v="119"/>
    <n v="126.95714285714288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x v="111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734.7"/>
    <n v="407.7"/>
    <n v="262.60000000000002"/>
    <n v="128.80000000000001"/>
    <n v="901.69999999999993"/>
    <n v="133.43846153846155"/>
    <n v="135.9"/>
    <n v="131.30000000000001"/>
    <n v="128.80000000000001"/>
    <n v="128.81428571428572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x v="123"/>
    <n v="147.4"/>
    <n v="144.30000000000001"/>
    <n v="138.1"/>
    <n v="143.5"/>
    <n v="132.6"/>
    <n v="135.30000000000001"/>
    <n v="136.1"/>
    <n v="132.1"/>
    <n v="119.1"/>
    <n v="130.6"/>
    <n v="138.6"/>
    <n v="124.4"/>
    <n v="128.6"/>
    <n v="136.19999999999999"/>
    <n v="1772.9"/>
    <n v="425.9"/>
    <n v="268.7"/>
    <n v="135.30000000000001"/>
    <n v="920.8"/>
    <n v="136.37692307692308"/>
    <n v="141.96666666666667"/>
    <n v="134.35"/>
    <n v="135.30000000000001"/>
    <n v="131.54285714285714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x v="1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768.1"/>
    <n v="385.70000000000005"/>
    <n v="259.8"/>
    <n v="119.7"/>
    <n v="893.1"/>
    <n v="136.00769230769231"/>
    <n v="128.56666666666669"/>
    <n v="129.9"/>
    <n v="119.7"/>
    <n v="127.58571428571429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x v="124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769.3999999999999"/>
    <n v="409.7"/>
    <n v="264.5"/>
    <n v="129.4"/>
    <n v="906.5"/>
    <n v="136.1076923076923"/>
    <n v="136.56666666666666"/>
    <n v="132.25"/>
    <n v="129.4"/>
    <n v="129.5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x v="125"/>
    <n v="149"/>
    <n v="145.30000000000001"/>
    <n v="139.19999999999999"/>
    <n v="144.5"/>
    <n v="134.4"/>
    <n v="136.4"/>
    <n v="137.30000000000001"/>
    <n v="133"/>
    <n v="120.3"/>
    <n v="131.5"/>
    <n v="140.19999999999999"/>
    <n v="125.4"/>
    <n v="129.69999999999999"/>
    <n v="137.80000000000001"/>
    <n v="1792.4999999999998"/>
    <n v="429"/>
    <n v="271.70000000000005"/>
    <n v="136.4"/>
    <n v="929.09999999999991"/>
    <n v="137.88461538461536"/>
    <n v="143"/>
    <n v="135.85000000000002"/>
    <n v="136.4"/>
    <n v="132.72857142857143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x v="126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772.9999999999998"/>
    <n v="388.4"/>
    <n v="262.10000000000002"/>
    <n v="118.9"/>
    <n v="899.3"/>
    <n v="136.38461538461536"/>
    <n v="129.46666666666667"/>
    <n v="131.05000000000001"/>
    <n v="118.9"/>
    <n v="128.47142857142856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x v="125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783.8"/>
    <n v="412.6"/>
    <n v="267.20000000000005"/>
    <n v="129.80000000000001"/>
    <n v="913.5"/>
    <n v="137.21538461538461"/>
    <n v="137.53333333333333"/>
    <n v="133.60000000000002"/>
    <n v="129.80000000000001"/>
    <n v="130.5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x v="127"/>
    <n v="149.80000000000001"/>
    <n v="146.1"/>
    <n v="139.69999999999999"/>
    <n v="145.19999999999999"/>
    <n v="135.69999999999999"/>
    <n v="137.4"/>
    <n v="137.9"/>
    <n v="133.4"/>
    <n v="121.2"/>
    <n v="132.30000000000001"/>
    <n v="139.6"/>
    <n v="126.7"/>
    <n v="130.30000000000001"/>
    <n v="137.6"/>
    <n v="1784.3"/>
    <n v="430.99999999999994"/>
    <n v="273.60000000000002"/>
    <n v="137.4"/>
    <n v="933.3"/>
    <n v="137.25384615384615"/>
    <n v="143.66666666666666"/>
    <n v="136.80000000000001"/>
    <n v="137.4"/>
    <n v="133.32857142857142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x v="103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749.7"/>
    <n v="389.9"/>
    <n v="263.79999999999995"/>
    <n v="120.6"/>
    <n v="904.7"/>
    <n v="134.59230769230768"/>
    <n v="129.96666666666667"/>
    <n v="131.89999999999998"/>
    <n v="120.6"/>
    <n v="129.24285714285716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x v="124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769.9999999999998"/>
    <n v="414.5"/>
    <n v="269"/>
    <n v="131"/>
    <n v="918.2"/>
    <n v="136.15384615384613"/>
    <n v="138.16666666666666"/>
    <n v="134.5"/>
    <n v="131"/>
    <n v="131.17142857142858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x v="128"/>
    <n v="150.5"/>
    <n v="147.19999999999999"/>
    <n v="140.6"/>
    <n v="146.19999999999999"/>
    <n v="137.30000000000001"/>
    <n v="138.1"/>
    <n v="138.4"/>
    <n v="134.19999999999999"/>
    <n v="121"/>
    <n v="133"/>
    <n v="140.1"/>
    <n v="127.4"/>
    <n v="130.69999999999999"/>
    <n v="138.30000000000001"/>
    <n v="1790.8999999999999"/>
    <n v="433.99999999999994"/>
    <n v="275.70000000000005"/>
    <n v="138.1"/>
    <n v="936.89999999999986"/>
    <n v="137.76153846153846"/>
    <n v="144.66666666666666"/>
    <n v="137.85000000000002"/>
    <n v="138.1"/>
    <n v="133.84285714285713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x v="12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765.6999999999998"/>
    <n v="391.5"/>
    <n v="265.60000000000002"/>
    <n v="122.6"/>
    <n v="906.4"/>
    <n v="135.82307692307691"/>
    <n v="130.5"/>
    <n v="132.80000000000001"/>
    <n v="122.6"/>
    <n v="129.48571428571429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x v="130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779.6999999999998"/>
    <n v="416.90000000000003"/>
    <n v="270.89999999999998"/>
    <n v="132.19999999999999"/>
    <n v="920.90000000000009"/>
    <n v="136.89999999999998"/>
    <n v="138.96666666666667"/>
    <n v="135.44999999999999"/>
    <n v="132.19999999999999"/>
    <n v="131.55714285714288"/>
  </r>
  <r>
    <x v="0"/>
    <x v="4"/>
    <x v="11"/>
    <n v="136.30000000000001"/>
    <n v="142.5"/>
    <n v="140.5"/>
    <n v="141.5"/>
    <n v="121.6"/>
    <n v="147.30000000000001"/>
    <n v="168"/>
    <n v="135.80000000000001"/>
    <n v="122.5"/>
    <n v="136"/>
    <n v="131.9"/>
    <n v="151.4"/>
    <x v="131"/>
    <n v="152.1"/>
    <n v="148.19999999999999"/>
    <n v="141.5"/>
    <n v="147.30000000000001"/>
    <n v="138.6"/>
    <n v="141.1"/>
    <n v="139.4"/>
    <n v="135.80000000000001"/>
    <n v="121.6"/>
    <n v="133.69999999999999"/>
    <n v="141.5"/>
    <n v="128.1"/>
    <n v="131.69999999999999"/>
    <n v="140"/>
    <n v="1817.7000000000003"/>
    <n v="437"/>
    <n v="278"/>
    <n v="141.1"/>
    <n v="944.49999999999989"/>
    <n v="139.82307692307694"/>
    <n v="145.66666666666666"/>
    <n v="139"/>
    <n v="141.1"/>
    <n v="134.92857142857142"/>
  </r>
  <r>
    <x v="1"/>
    <x v="4"/>
    <x v="11"/>
    <n v="134.30000000000001"/>
    <n v="142.1"/>
    <n v="146.69999999999999"/>
    <n v="139.5"/>
    <n v="115.2"/>
    <n v="136.4"/>
    <n v="185.2"/>
    <n v="122.2"/>
    <n v="123.9"/>
    <n v="138.30000000000001"/>
    <n v="125.4"/>
    <n v="146"/>
    <x v="132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796.7"/>
    <n v="393.9"/>
    <n v="267.39999999999998"/>
    <n v="125.7"/>
    <n v="910.39999999999986"/>
    <n v="138.2076923076923"/>
    <n v="131.29999999999998"/>
    <n v="133.69999999999999"/>
    <n v="125.7"/>
    <n v="130.05714285714285"/>
  </r>
  <r>
    <x v="2"/>
    <x v="4"/>
    <x v="11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x v="133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808.2"/>
    <n v="419.6"/>
    <n v="273"/>
    <n v="135.30000000000001"/>
    <n v="926.8"/>
    <n v="139.09230769230768"/>
    <n v="139.86666666666667"/>
    <n v="136.5"/>
    <n v="135.30000000000001"/>
    <n v="132.4"/>
  </r>
  <r>
    <x v="0"/>
    <x v="4"/>
    <x v="12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x v="132"/>
    <n v="153.19999999999999"/>
    <n v="148"/>
    <n v="141.9"/>
    <n v="147.19999999999999"/>
    <n v="139.1"/>
    <n v="142.6"/>
    <n v="139.5"/>
    <n v="136.1"/>
    <n v="122"/>
    <n v="133.4"/>
    <n v="141.1"/>
    <n v="127.8"/>
    <n v="131.9"/>
    <n v="139.80000000000001"/>
    <n v="1813.6000000000001"/>
    <n v="437.09999999999997"/>
    <n v="278.60000000000002"/>
    <n v="142.6"/>
    <n v="945.5"/>
    <n v="139.50769230769231"/>
    <n v="145.69999999999999"/>
    <n v="139.30000000000001"/>
    <n v="142.6"/>
    <n v="135.07142857142858"/>
  </r>
  <r>
    <x v="1"/>
    <x v="4"/>
    <x v="12"/>
    <n v="134.4"/>
    <n v="142.6"/>
    <n v="145.9"/>
    <n v="139.5"/>
    <n v="115.9"/>
    <n v="135"/>
    <n v="163.19999999999999"/>
    <n v="119.8"/>
    <n v="120.7"/>
    <n v="139.69999999999999"/>
    <n v="125.7"/>
    <n v="146.30000000000001"/>
    <x v="134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767.5"/>
    <n v="395.2"/>
    <n v="268.39999999999998"/>
    <n v="126.8"/>
    <n v="912.5"/>
    <n v="135.96153846153845"/>
    <n v="131.73333333333332"/>
    <n v="134.19999999999999"/>
    <n v="126.8"/>
    <n v="130.35714285714286"/>
  </r>
  <r>
    <x v="2"/>
    <x v="4"/>
    <x v="12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x v="126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794.9999999999998"/>
    <n v="420.2"/>
    <n v="273.79999999999995"/>
    <n v="136.6"/>
    <n v="928.40000000000009"/>
    <n v="138.07692307692307"/>
    <n v="140.06666666666666"/>
    <n v="136.89999999999998"/>
    <n v="136.6"/>
    <n v="132.62857142857143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x v="128"/>
    <n v="153.6"/>
    <n v="148.30000000000001"/>
    <n v="142.30000000000001"/>
    <n v="147.5"/>
    <n v="140.4"/>
    <n v="142.30000000000001"/>
    <n v="139.80000000000001"/>
    <n v="136"/>
    <n v="122.7"/>
    <n v="134.30000000000001"/>
    <n v="141.6"/>
    <n v="128.6"/>
    <n v="132.30000000000001"/>
    <n v="139.30000000000001"/>
    <n v="1800.7"/>
    <n v="438.1"/>
    <n v="280.20000000000005"/>
    <n v="142.30000000000001"/>
    <n v="949.1"/>
    <n v="138.51538461538462"/>
    <n v="146.03333333333333"/>
    <n v="140.10000000000002"/>
    <n v="142.30000000000001"/>
    <n v="135.58571428571429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x v="105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748.3000000000002"/>
    <n v="396.29999999999995"/>
    <n v="269.89999999999998"/>
    <n v="127.3"/>
    <n v="917.59999999999991"/>
    <n v="134.48461538461541"/>
    <n v="132.1"/>
    <n v="134.94999999999999"/>
    <n v="127.3"/>
    <n v="131.08571428571426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x v="135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779.9"/>
    <n v="421.3"/>
    <n v="275.3"/>
    <n v="136.6"/>
    <n v="932.39999999999986"/>
    <n v="136.91538461538462"/>
    <n v="140.43333333333334"/>
    <n v="137.65"/>
    <n v="136.6"/>
    <n v="133.19999999999999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x v="136"/>
    <n v="153.30000000000001"/>
    <n v="148.69999999999999"/>
    <n v="142.4"/>
    <n v="147.80000000000001"/>
    <n v="141.30000000000001"/>
    <n v="142.4"/>
    <n v="139.9"/>
    <n v="136.19999999999999"/>
    <n v="123.3"/>
    <n v="134.30000000000001"/>
    <n v="141.5"/>
    <n v="128.80000000000001"/>
    <n v="132.5"/>
    <n v="138.5"/>
    <n v="1781.5"/>
    <n v="438.90000000000003"/>
    <n v="281.20000000000005"/>
    <n v="142.4"/>
    <n v="949.89999999999986"/>
    <n v="137.03846153846155"/>
    <n v="146.30000000000001"/>
    <n v="140.60000000000002"/>
    <n v="142.4"/>
    <n v="135.69999999999999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x v="137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727.9"/>
    <n v="397.09999999999997"/>
    <n v="271.20000000000005"/>
    <n v="127.3"/>
    <n v="922.90000000000009"/>
    <n v="132.91538461538462"/>
    <n v="132.36666666666665"/>
    <n v="135.60000000000002"/>
    <n v="127.3"/>
    <n v="131.84285714285716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x v="100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760.3999999999996"/>
    <n v="422"/>
    <n v="276.5"/>
    <n v="136.69999999999999"/>
    <n v="935.1"/>
    <n v="135.4153846153846"/>
    <n v="140.66666666666666"/>
    <n v="138.25"/>
    <n v="136.69999999999999"/>
    <n v="133.58571428571429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x v="138"/>
    <n v="155.1"/>
    <n v="149.19999999999999"/>
    <n v="143"/>
    <n v="148.30000000000001"/>
    <n v="142"/>
    <n v="142.6"/>
    <n v="139.9"/>
    <n v="136.69999999999999"/>
    <n v="124.6"/>
    <n v="135.1"/>
    <n v="142.69999999999999"/>
    <n v="129.30000000000001"/>
    <n v="133.30000000000001"/>
    <n v="138.69999999999999"/>
    <n v="1781.9999999999998"/>
    <n v="440.5"/>
    <n v="281.89999999999998"/>
    <n v="142.6"/>
    <n v="956.79999999999984"/>
    <n v="137.07692307692307"/>
    <n v="146.83333333333334"/>
    <n v="140.94999999999999"/>
    <n v="142.6"/>
    <n v="136.68571428571425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x v="139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715.5"/>
    <n v="398.59999999999997"/>
    <n v="272.8"/>
    <n v="126.4"/>
    <n v="926.40000000000009"/>
    <n v="131.96153846153845"/>
    <n v="132.86666666666665"/>
    <n v="136.4"/>
    <n v="126.4"/>
    <n v="132.34285714285716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x v="105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756"/>
    <n v="423.6"/>
    <n v="277.60000000000002"/>
    <n v="136.5"/>
    <n v="940.3"/>
    <n v="135.07692307692307"/>
    <n v="141.20000000000002"/>
    <n v="138.80000000000001"/>
    <n v="136.5"/>
    <n v="134.32857142857142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x v="138"/>
    <n v="156.1"/>
    <n v="150.1"/>
    <n v="143.30000000000001"/>
    <n v="149.1"/>
    <n v="142.9"/>
    <n v="143.80000000000001"/>
    <n v="140.9"/>
    <n v="137.6"/>
    <n v="125.3"/>
    <n v="136"/>
    <n v="143.69999999999999"/>
    <n v="130.4"/>
    <n v="134.19999999999999"/>
    <n v="139.1"/>
    <n v="1780"/>
    <n v="442.5"/>
    <n v="283.8"/>
    <n v="143.80000000000001"/>
    <n v="963.29999999999984"/>
    <n v="136.92307692307693"/>
    <n v="147.5"/>
    <n v="141.9"/>
    <n v="143.80000000000001"/>
    <n v="137.6142857142857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x v="106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720.0000000000002"/>
    <n v="401.40000000000003"/>
    <n v="274.70000000000005"/>
    <n v="124.6"/>
    <n v="932.5"/>
    <n v="132.30769230769232"/>
    <n v="133.80000000000001"/>
    <n v="137.35000000000002"/>
    <n v="124.6"/>
    <n v="133.21428571428572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x v="140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757.1000000000001"/>
    <n v="426"/>
    <n v="279.5"/>
    <n v="136.5"/>
    <n v="947.19999999999993"/>
    <n v="135.16153846153847"/>
    <n v="142"/>
    <n v="139.75"/>
    <n v="136.5"/>
    <n v="135.31428571428572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x v="141"/>
    <n v="157"/>
    <n v="150.80000000000001"/>
    <n v="144.1"/>
    <n v="149.80000000000001"/>
    <n v="143.19999999999999"/>
    <n v="144.30000000000001"/>
    <n v="141.80000000000001"/>
    <n v="138.4"/>
    <n v="126.4"/>
    <n v="136.80000000000001"/>
    <n v="144.4"/>
    <n v="131.19999999999999"/>
    <n v="135.1"/>
    <n v="139.80000000000001"/>
    <n v="1782.4"/>
    <n v="444.7"/>
    <n v="285"/>
    <n v="144.30000000000001"/>
    <n v="969.30000000000007"/>
    <n v="137.1076923076923"/>
    <n v="148.23333333333332"/>
    <n v="142.5"/>
    <n v="144.30000000000001"/>
    <n v="138.47142857142859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x v="142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722.8999999999999"/>
    <n v="403.5"/>
    <n v="275.7"/>
    <n v="124.7"/>
    <n v="937.5"/>
    <n v="132.53076923076921"/>
    <n v="134.5"/>
    <n v="137.85"/>
    <n v="124.7"/>
    <n v="133.92857142857142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x v="143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759.8"/>
    <n v="428.09999999999997"/>
    <n v="280.60000000000002"/>
    <n v="136.9"/>
    <n v="952.69999999999993"/>
    <n v="135.36923076923077"/>
    <n v="142.69999999999999"/>
    <n v="140.30000000000001"/>
    <n v="136.9"/>
    <n v="136.1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x v="144"/>
    <n v="157.30000000000001"/>
    <n v="151.30000000000001"/>
    <n v="144.69999999999999"/>
    <n v="150.30000000000001"/>
    <n v="142.5"/>
    <n v="145.1"/>
    <n v="142.19999999999999"/>
    <n v="138.4"/>
    <n v="127.4"/>
    <n v="137.80000000000001"/>
    <n v="145.1"/>
    <n v="131.4"/>
    <n v="135.6"/>
    <n v="140.5"/>
    <n v="1790.2999999999997"/>
    <n v="446.3"/>
    <n v="284.7"/>
    <n v="145.1"/>
    <n v="973"/>
    <n v="137.71538461538461"/>
    <n v="148.76666666666668"/>
    <n v="142.35"/>
    <n v="145.1"/>
    <n v="139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x v="102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747.3000000000002"/>
    <n v="405"/>
    <n v="275.60000000000002"/>
    <n v="126.5"/>
    <n v="941.40000000000009"/>
    <n v="134.40769230769232"/>
    <n v="135"/>
    <n v="137.80000000000001"/>
    <n v="126.5"/>
    <n v="134.48571428571429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x v="145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774.1000000000001"/>
    <n v="429.7"/>
    <n v="280.39999999999998"/>
    <n v="138.1"/>
    <n v="956.3"/>
    <n v="136.46923076923079"/>
    <n v="143.23333333333332"/>
    <n v="140.19999999999999"/>
    <n v="138.1"/>
    <n v="136.6142857142857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x v="146"/>
    <n v="156.1"/>
    <n v="151.5"/>
    <n v="145.1"/>
    <n v="150.6"/>
    <n v="143.6"/>
    <n v="146.80000000000001"/>
    <n v="143.1"/>
    <n v="139"/>
    <n v="127.5"/>
    <n v="138.4"/>
    <n v="145.80000000000001"/>
    <n v="131.4"/>
    <n v="136"/>
    <n v="141.80000000000001"/>
    <n v="1810.5000000000002"/>
    <n v="447.20000000000005"/>
    <n v="286.7"/>
    <n v="146.80000000000001"/>
    <n v="974.2"/>
    <n v="139.26923076923077"/>
    <n v="149.06666666666669"/>
    <n v="143.35"/>
    <n v="146.80000000000001"/>
    <n v="139.17142857142858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x v="147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771.1"/>
    <n v="406.4"/>
    <n v="277.2"/>
    <n v="128.1"/>
    <n v="946.50000000000011"/>
    <n v="136.23846153846154"/>
    <n v="135.46666666666667"/>
    <n v="138.6"/>
    <n v="128.1"/>
    <n v="135.21428571428572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x v="148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795.3"/>
    <n v="430.80000000000007"/>
    <n v="282.2"/>
    <n v="139.69999999999999"/>
    <n v="959.2"/>
    <n v="138.1"/>
    <n v="143.60000000000002"/>
    <n v="141.1"/>
    <n v="139.69999999999999"/>
    <n v="137.02857142857144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x v="149"/>
    <n v="156.4"/>
    <n v="152.1"/>
    <n v="145.80000000000001"/>
    <n v="151.30000000000001"/>
    <n v="144.6"/>
    <n v="147.69999999999999"/>
    <n v="143.80000000000001"/>
    <n v="139.4"/>
    <n v="128.30000000000001"/>
    <n v="138.6"/>
    <n v="146.9"/>
    <n v="131.30000000000001"/>
    <n v="136.6"/>
    <n v="142.5"/>
    <n v="1818.8"/>
    <n v="449.2"/>
    <n v="288.39999999999998"/>
    <n v="147.69999999999999"/>
    <n v="977.5"/>
    <n v="139.90769230769232"/>
    <n v="149.73333333333332"/>
    <n v="144.19999999999999"/>
    <n v="147.69999999999999"/>
    <n v="139.64285714285714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x v="130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767.6"/>
    <n v="407.3"/>
    <n v="279"/>
    <n v="129.80000000000001"/>
    <n v="952.1"/>
    <n v="135.96923076923076"/>
    <n v="135.76666666666668"/>
    <n v="139.5"/>
    <n v="129.80000000000001"/>
    <n v="136.01428571428571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x v="150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798.7000000000003"/>
    <n v="432.20000000000005"/>
    <n v="284"/>
    <n v="140.9"/>
    <n v="963.5"/>
    <n v="138.36153846153849"/>
    <n v="144.06666666666669"/>
    <n v="142"/>
    <n v="140.9"/>
    <n v="137.64285714285714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x v="151"/>
    <n v="157.69999999999999"/>
    <n v="152.1"/>
    <n v="146.1"/>
    <n v="151.30000000000001"/>
    <n v="145.30000000000001"/>
    <n v="149"/>
    <n v="144"/>
    <n v="140"/>
    <n v="129.9"/>
    <n v="140"/>
    <n v="147.6"/>
    <n v="132"/>
    <n v="137.4"/>
    <n v="142.1"/>
    <n v="1799.8000000000002"/>
    <n v="449.5"/>
    <n v="289.3"/>
    <n v="149"/>
    <n v="984.59999999999991"/>
    <n v="138.44615384615386"/>
    <n v="149.83333333333334"/>
    <n v="144.65"/>
    <n v="149"/>
    <n v="140.65714285714284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x v="152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748.4"/>
    <n v="409.20000000000005"/>
    <n v="280.20000000000005"/>
    <n v="131.19999999999999"/>
    <n v="958.09999999999991"/>
    <n v="134.49230769230769"/>
    <n v="136.4"/>
    <n v="140.10000000000002"/>
    <n v="131.19999999999999"/>
    <n v="136.87142857142857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x v="128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779.5"/>
    <n v="433.29999999999995"/>
    <n v="285"/>
    <n v="142.30000000000001"/>
    <n v="969.89999999999986"/>
    <n v="136.88461538461539"/>
    <n v="144.43333333333331"/>
    <n v="142.5"/>
    <n v="142.30000000000001"/>
    <n v="138.55714285714285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x v="153"/>
    <n v="159.6"/>
    <n v="150.69999999999999"/>
    <n v="144.5"/>
    <n v="149.80000000000001"/>
    <n v="146.60000000000002"/>
    <n v="149.69999999999999"/>
    <n v="147.5"/>
    <n v="144.80000000000001"/>
    <n v="130.80000000000001"/>
    <n v="140.1"/>
    <n v="148"/>
    <n v="134.4"/>
    <n v="139.80000000000001"/>
    <n v="142.19999999999999"/>
    <n v="1782.2"/>
    <n v="445"/>
    <n v="294.10000000000002"/>
    <n v="149.69999999999999"/>
    <n v="997.50000000000011"/>
    <n v="137.09230769230768"/>
    <n v="148.33333333333334"/>
    <n v="147.05000000000001"/>
    <n v="149.69999999999999"/>
    <n v="142.50000000000003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x v="145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754.1"/>
    <n v="411"/>
    <n v="281.39999999999998"/>
    <n v="133.4"/>
    <n v="962.6"/>
    <n v="134.93076923076922"/>
    <n v="137"/>
    <n v="140.69999999999999"/>
    <n v="133.4"/>
    <n v="137.51428571428571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x v="12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776.2"/>
    <n v="434"/>
    <n v="289.10000000000002"/>
    <n v="145.30000000000001"/>
    <n v="982.80000000000007"/>
    <n v="136.63076923076923"/>
    <n v="144.66666666666666"/>
    <n v="144.55000000000001"/>
    <n v="145.30000000000001"/>
    <n v="140.4"/>
  </r>
  <r>
    <x v="0"/>
    <x v="5"/>
    <x v="11"/>
    <n v="137.1"/>
    <n v="150.80000000000001"/>
    <n v="136.69999999999999"/>
    <n v="141.9"/>
    <n v="122.8"/>
    <n v="143.9"/>
    <n v="147.5"/>
    <n v="121"/>
    <n v="111.6"/>
    <n v="140.6"/>
    <n v="137.5"/>
    <n v="156.1"/>
    <x v="144"/>
    <n v="161.9"/>
    <n v="151.69999999999999"/>
    <n v="145.5"/>
    <n v="150.80000000000001"/>
    <n v="146.9"/>
    <n v="150.30000000000001"/>
    <n v="148"/>
    <n v="145.4"/>
    <n v="130.30000000000001"/>
    <n v="143.1"/>
    <n v="150.19999999999999"/>
    <n v="133.1"/>
    <n v="140.1"/>
    <n v="142.4"/>
    <n v="1787.4999999999995"/>
    <n v="448"/>
    <n v="294.89999999999998"/>
    <n v="150.30000000000001"/>
    <n v="1004.1"/>
    <n v="137.49999999999997"/>
    <n v="149.33333333333334"/>
    <n v="147.44999999999999"/>
    <n v="150.30000000000001"/>
    <n v="143.44285714285715"/>
  </r>
  <r>
    <x v="1"/>
    <x v="5"/>
    <x v="11"/>
    <n v="138.1"/>
    <n v="146.30000000000001"/>
    <n v="137.80000000000001"/>
    <n v="141.6"/>
    <n v="118.1"/>
    <n v="141.5"/>
    <n v="145.19999999999999"/>
    <n v="115.3"/>
    <n v="112.5"/>
    <n v="141.4"/>
    <n v="128"/>
    <n v="152.6"/>
    <x v="14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757.4999999999998"/>
    <n v="413.1"/>
    <n v="282.70000000000005"/>
    <n v="136.69999999999999"/>
    <n v="962.49999999999989"/>
    <n v="135.19230769230768"/>
    <n v="137.70000000000002"/>
    <n v="141.35000000000002"/>
    <n v="136.69999999999999"/>
    <n v="137.49999999999997"/>
  </r>
  <r>
    <x v="2"/>
    <x v="5"/>
    <x v="11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x v="12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775.7000000000003"/>
    <n v="433.8"/>
    <n v="289.10000000000002"/>
    <n v="145.1"/>
    <n v="982.80000000000007"/>
    <n v="136.59230769230771"/>
    <n v="144.6"/>
    <n v="144.55000000000001"/>
    <n v="145.1"/>
    <n v="140.4"/>
  </r>
  <r>
    <x v="0"/>
    <x v="5"/>
    <x v="12"/>
    <n v="137.1"/>
    <n v="151.9"/>
    <n v="137.4"/>
    <n v="142.4"/>
    <n v="124.2"/>
    <n v="140.19999999999999"/>
    <n v="136.6"/>
    <n v="120.9"/>
    <n v="109.9"/>
    <n v="140.19999999999999"/>
    <n v="137.80000000000001"/>
    <n v="156"/>
    <x v="123"/>
    <n v="162.4"/>
    <n v="151.6"/>
    <n v="145.9"/>
    <n v="150.80000000000001"/>
    <n v="146.5"/>
    <n v="149"/>
    <n v="149.5"/>
    <n v="149.6"/>
    <n v="128.9"/>
    <n v="143.30000000000001"/>
    <n v="155.1"/>
    <n v="133.19999999999999"/>
    <n v="141.6"/>
    <n v="141.9"/>
    <n v="1773.1000000000001"/>
    <n v="448.3"/>
    <n v="296"/>
    <n v="149"/>
    <n v="1014.0999999999999"/>
    <n v="136.3923076923077"/>
    <n v="149.43333333333334"/>
    <n v="148"/>
    <n v="149"/>
    <n v="144.87142857142857"/>
  </r>
  <r>
    <x v="1"/>
    <x v="5"/>
    <x v="12"/>
    <n v="138.5"/>
    <n v="147.80000000000001"/>
    <n v="141.1"/>
    <n v="141.6"/>
    <n v="118.1"/>
    <n v="138.5"/>
    <n v="132.4"/>
    <n v="117.5"/>
    <n v="111"/>
    <n v="141.5"/>
    <n v="128.1"/>
    <n v="152.9"/>
    <x v="100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746.6"/>
    <n v="413.8"/>
    <n v="282.7"/>
    <n v="132.4"/>
    <n v="961.4"/>
    <n v="134.35384615384615"/>
    <n v="137.93333333333334"/>
    <n v="141.35"/>
    <n v="132.4"/>
    <n v="137.34285714285713"/>
  </r>
  <r>
    <x v="2"/>
    <x v="5"/>
    <x v="12"/>
    <n v="137.5"/>
    <n v="150.5"/>
    <n v="138.80000000000001"/>
    <n v="142.1"/>
    <n v="122"/>
    <n v="139.4"/>
    <n v="135.19999999999999"/>
    <n v="119.8"/>
    <n v="110.3"/>
    <n v="140.6"/>
    <n v="133.80000000000001"/>
    <n v="154.6"/>
    <x v="98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762.7999999999997"/>
    <n v="434.3"/>
    <n v="289.7"/>
    <n v="142.69999999999999"/>
    <n v="987.39999999999986"/>
    <n v="135.59999999999997"/>
    <n v="144.76666666666668"/>
    <n v="144.85"/>
    <n v="142.69999999999999"/>
    <n v="141.05714285714285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x v="108"/>
    <n v="162.69999999999999"/>
    <n v="150.6"/>
    <n v="145.1"/>
    <n v="149.9"/>
    <n v="147.69999999999999"/>
    <n v="146.19999999999999"/>
    <n v="150.1"/>
    <n v="149.6"/>
    <n v="128.6"/>
    <n v="142.9"/>
    <n v="155.19999999999999"/>
    <n v="133.5"/>
    <n v="141.69999999999999"/>
    <n v="141"/>
    <n v="1759.6000000000001"/>
    <n v="445.6"/>
    <n v="297.79999999999995"/>
    <n v="146.19999999999999"/>
    <n v="1014.2"/>
    <n v="135.35384615384618"/>
    <n v="148.53333333333333"/>
    <n v="148.89999999999998"/>
    <n v="146.19999999999999"/>
    <n v="144.8857142857143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x v="154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744.3000000000002"/>
    <n v="414.5"/>
    <n v="284"/>
    <n v="128.6"/>
    <n v="963.09999999999991"/>
    <n v="134.17692307692309"/>
    <n v="138.16666666666666"/>
    <n v="142"/>
    <n v="128.6"/>
    <n v="137.58571428571426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x v="108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753.3999999999999"/>
    <n v="433"/>
    <n v="291.29999999999995"/>
    <n v="139.5"/>
    <n v="988.19999999999982"/>
    <n v="134.87692307692308"/>
    <n v="144.33333333333334"/>
    <n v="145.64999999999998"/>
    <n v="139.5"/>
    <n v="141.17142857142855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x v="105"/>
    <n v="162.80000000000001"/>
    <n v="150.5"/>
    <n v="146.1"/>
    <n v="149.9"/>
    <n v="148.5"/>
    <n v="145.30000000000001"/>
    <n v="150.1"/>
    <n v="149.9"/>
    <n v="129.19999999999999"/>
    <n v="143.4"/>
    <n v="155.5"/>
    <n v="134.9"/>
    <n v="142.19999999999999"/>
    <n v="141"/>
    <n v="1759.8000000000002"/>
    <n v="446.5"/>
    <n v="298.60000000000002"/>
    <n v="145.30000000000001"/>
    <n v="1017.8999999999999"/>
    <n v="135.3692307692308"/>
    <n v="148.83333333333334"/>
    <n v="149.30000000000001"/>
    <n v="145.30000000000001"/>
    <n v="145.41428571428568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x v="103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754.4"/>
    <n v="415.5"/>
    <n v="285.10000000000002"/>
    <n v="127.1"/>
    <n v="966.8"/>
    <n v="134.95384615384617"/>
    <n v="138.5"/>
    <n v="142.55000000000001"/>
    <n v="127.1"/>
    <n v="138.1142857142857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x v="140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757.1"/>
    <n v="433.9"/>
    <n v="292.2"/>
    <n v="138.4"/>
    <n v="991.80000000000007"/>
    <n v="135.16153846153844"/>
    <n v="144.63333333333333"/>
    <n v="146.1"/>
    <n v="138.4"/>
    <n v="141.68571428571428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x v="154"/>
    <n v="162.9"/>
    <n v="150.80000000000001"/>
    <n v="146.1"/>
    <n v="150.1"/>
    <n v="149"/>
    <n v="146.4"/>
    <n v="150"/>
    <n v="150.4"/>
    <n v="129.9"/>
    <n v="143.80000000000001"/>
    <n v="155.5"/>
    <n v="134"/>
    <n v="142.4"/>
    <n v="141.19999999999999"/>
    <n v="1761.2000000000003"/>
    <n v="447"/>
    <n v="299"/>
    <n v="146.4"/>
    <n v="1018.9"/>
    <n v="135.4769230769231"/>
    <n v="149"/>
    <n v="149.5"/>
    <n v="146.4"/>
    <n v="145.55714285714285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x v="127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768.4"/>
    <n v="416.29999999999995"/>
    <n v="285.8"/>
    <n v="128.80000000000001"/>
    <n v="969.39999999999986"/>
    <n v="136.03076923076924"/>
    <n v="138.76666666666665"/>
    <n v="142.9"/>
    <n v="128.80000000000001"/>
    <n v="138.48571428571427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x v="143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762.9"/>
    <n v="434.5"/>
    <n v="292.8"/>
    <n v="139.69999999999999"/>
    <n v="993.39999999999986"/>
    <n v="135.6076923076923"/>
    <n v="144.83333333333334"/>
    <n v="146.4"/>
    <n v="139.69999999999999"/>
    <n v="141.91428571428568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x v="135"/>
    <n v="163.30000000000001"/>
    <n v="151.30000000000001"/>
    <n v="146.6"/>
    <n v="150.69999999999999"/>
    <n v="150.1"/>
    <n v="146.9"/>
    <n v="149.5"/>
    <n v="151.30000000000001"/>
    <n v="130.19999999999999"/>
    <n v="145.9"/>
    <n v="156.69999999999999"/>
    <n v="133.9"/>
    <n v="142.9"/>
    <n v="142.4"/>
    <n v="1782.1000000000001"/>
    <n v="448.59999999999997"/>
    <n v="299.60000000000002"/>
    <n v="146.9"/>
    <n v="1024.1999999999998"/>
    <n v="137.0846153846154"/>
    <n v="149.53333333333333"/>
    <n v="149.80000000000001"/>
    <n v="146.9"/>
    <n v="146.31428571428569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x v="155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811.5000000000002"/>
    <n v="417.9"/>
    <n v="287.29999999999995"/>
    <n v="129.4"/>
    <n v="974"/>
    <n v="139.34615384615387"/>
    <n v="139.29999999999998"/>
    <n v="143.64999999999998"/>
    <n v="129.4"/>
    <n v="139.14285714285714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x v="156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791.9000000000003"/>
    <n v="436.1"/>
    <n v="293.79999999999995"/>
    <n v="140.30000000000001"/>
    <n v="998.30000000000007"/>
    <n v="137.83846153846156"/>
    <n v="145.36666666666667"/>
    <n v="146.89999999999998"/>
    <n v="140.30000000000001"/>
    <n v="142.61428571428573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x v="157"/>
    <n v="164.2"/>
    <n v="151.4"/>
    <n v="146.5"/>
    <n v="150.69999999999999"/>
    <n v="149.4"/>
    <n v="147.80000000000001"/>
    <n v="149.6"/>
    <n v="151.69999999999999"/>
    <n v="130.19999999999999"/>
    <n v="146.4"/>
    <n v="157.69999999999999"/>
    <n v="134.80000000000001"/>
    <n v="143.30000000000001"/>
    <n v="143.6"/>
    <n v="1804.1999999999998"/>
    <n v="448.59999999999997"/>
    <n v="299"/>
    <n v="147.80000000000001"/>
    <n v="1028.3"/>
    <n v="138.78461538461536"/>
    <n v="149.53333333333333"/>
    <n v="149.5"/>
    <n v="147.80000000000001"/>
    <n v="146.9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x v="158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833.2999999999997"/>
    <n v="418.4"/>
    <n v="286.8"/>
    <n v="130.5"/>
    <n v="977.09999999999991"/>
    <n v="141.0230769230769"/>
    <n v="139.46666666666667"/>
    <n v="143.4"/>
    <n v="130.5"/>
    <n v="139.58571428571426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x v="14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814.1000000000001"/>
    <n v="436.4"/>
    <n v="293.20000000000005"/>
    <n v="141.19999999999999"/>
    <n v="1001.9000000000001"/>
    <n v="139.54615384615386"/>
    <n v="145.46666666666667"/>
    <n v="146.60000000000002"/>
    <n v="141.19999999999999"/>
    <n v="143.12857142857143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x v="159"/>
    <n v="164.5"/>
    <n v="151.6"/>
    <n v="146.6"/>
    <n v="150.9"/>
    <n v="150.6"/>
    <n v="146.80000000000001"/>
    <n v="150"/>
    <n v="152.19999999999999"/>
    <n v="131.19999999999999"/>
    <n v="147.5"/>
    <n v="159.1"/>
    <n v="136.1"/>
    <n v="144.19999999999999"/>
    <n v="144.9"/>
    <n v="1826.8999999999999"/>
    <n v="449.1"/>
    <n v="300.60000000000002"/>
    <n v="146.80000000000001"/>
    <n v="1034.8"/>
    <n v="140.53076923076921"/>
    <n v="149.70000000000002"/>
    <n v="150.30000000000001"/>
    <n v="146.80000000000001"/>
    <n v="147.82857142857142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x v="160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857.3999999999999"/>
    <n v="419.3"/>
    <n v="288.29999999999995"/>
    <n v="127"/>
    <n v="983.59999999999991"/>
    <n v="142.87692307692308"/>
    <n v="139.76666666666668"/>
    <n v="144.14999999999998"/>
    <n v="127"/>
    <n v="140.51428571428571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x v="161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837.5"/>
    <n v="437"/>
    <n v="294.79999999999995"/>
    <n v="139.30000000000001"/>
    <n v="1008.4000000000001"/>
    <n v="141.34615384615384"/>
    <n v="145.66666666666666"/>
    <n v="147.39999999999998"/>
    <n v="139.30000000000001"/>
    <n v="144.05714285714288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x v="162"/>
    <n v="165.1"/>
    <n v="151.80000000000001"/>
    <n v="146.6"/>
    <n v="151.1"/>
    <n v="151.6"/>
    <n v="146.4"/>
    <n v="150.19999999999999"/>
    <n v="152.69999999999999"/>
    <n v="131.4"/>
    <n v="148"/>
    <n v="159.69999999999999"/>
    <n v="138.80000000000001"/>
    <n v="144.9"/>
    <n v="145.69999999999999"/>
    <n v="1834.5000000000002"/>
    <n v="449.5"/>
    <n v="301.79999999999995"/>
    <n v="146.4"/>
    <n v="1040.5999999999999"/>
    <n v="141.11538461538464"/>
    <n v="149.83333333333334"/>
    <n v="150.89999999999998"/>
    <n v="146.4"/>
    <n v="148.65714285714284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x v="163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869.1"/>
    <n v="420.2"/>
    <n v="289.7"/>
    <n v="125.5"/>
    <n v="990.19999999999993"/>
    <n v="143.77692307692308"/>
    <n v="140.06666666666666"/>
    <n v="144.85"/>
    <n v="125.5"/>
    <n v="141.45714285714286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x v="164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846.5"/>
    <n v="437.6"/>
    <n v="296.10000000000002"/>
    <n v="138.5"/>
    <n v="1014.5"/>
    <n v="142.03846153846155"/>
    <n v="145.86666666666667"/>
    <n v="148.05000000000001"/>
    <n v="138.5"/>
    <n v="144.92857142857142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x v="165"/>
    <n v="165.7"/>
    <n v="151.69999999999999"/>
    <n v="146.6"/>
    <n v="151"/>
    <n v="152.19999999999999"/>
    <n v="146.9"/>
    <n v="150.30000000000001"/>
    <n v="153.4"/>
    <n v="131.6"/>
    <n v="148.30000000000001"/>
    <n v="160.19999999999999"/>
    <n v="140.19999999999999"/>
    <n v="145.4"/>
    <n v="146.69999999999999"/>
    <n v="1848.7"/>
    <n v="449.29999999999995"/>
    <n v="302.5"/>
    <n v="146.9"/>
    <n v="1044.8"/>
    <n v="142.2076923076923"/>
    <n v="149.76666666666665"/>
    <n v="151.25"/>
    <n v="146.9"/>
    <n v="149.25714285714284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x v="166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874.9"/>
    <n v="420.8"/>
    <n v="290.5"/>
    <n v="126.6"/>
    <n v="993.9"/>
    <n v="144.22307692307692"/>
    <n v="140.26666666666668"/>
    <n v="145.25"/>
    <n v="126.6"/>
    <n v="141.98571428571429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x v="16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857.6999999999998"/>
    <n v="437.69999999999993"/>
    <n v="296.79999999999995"/>
    <n v="139.19999999999999"/>
    <n v="1018.5"/>
    <n v="142.89999999999998"/>
    <n v="145.89999999999998"/>
    <n v="148.39999999999998"/>
    <n v="139.19999999999999"/>
    <n v="145.5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x v="168"/>
    <n v="166.3"/>
    <n v="151.69999999999999"/>
    <n v="146.69999999999999"/>
    <n v="151"/>
    <n v="153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876.8999999999996"/>
    <n v="449.4"/>
    <n v="303.60000000000002"/>
    <n v="147.69999999999999"/>
    <n v="1047.0999999999999"/>
    <n v="144.37692307692305"/>
    <n v="149.79999999999998"/>
    <n v="151.80000000000001"/>
    <n v="147.69999999999999"/>
    <n v="149.58571428571426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x v="16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902.6000000000001"/>
    <n v="422.20000000000005"/>
    <n v="291.7"/>
    <n v="128.9"/>
    <n v="996.59999999999991"/>
    <n v="146.35384615384618"/>
    <n v="140.73333333333335"/>
    <n v="145.85"/>
    <n v="128.9"/>
    <n v="142.37142857142857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x v="170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885.5999999999997"/>
    <n v="438.40000000000003"/>
    <n v="298"/>
    <n v="140.6"/>
    <n v="1020.9"/>
    <n v="145.04615384615383"/>
    <n v="146.13333333333335"/>
    <n v="149"/>
    <n v="140.6"/>
    <n v="145.84285714285713"/>
  </r>
  <r>
    <x v="0"/>
    <x v="6"/>
    <x v="1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x v="171"/>
    <n v="167.2"/>
    <n v="152.30000000000001"/>
    <n v="147"/>
    <n v="151.5"/>
    <n v="153.5"/>
    <n v="148.4"/>
    <n v="150.9"/>
    <n v="154.30000000000001"/>
    <n v="132.1"/>
    <n v="149.1"/>
    <n v="160.80000000000001"/>
    <n v="140.6"/>
    <n v="146.1"/>
    <n v="149.9"/>
    <n v="1904.6000000000001"/>
    <n v="450.8"/>
    <n v="304.39999999999998"/>
    <n v="148.4"/>
    <n v="1050.2"/>
    <n v="146.50769230769231"/>
    <n v="150.26666666666668"/>
    <n v="152.19999999999999"/>
    <n v="148.4"/>
    <n v="150.02857142857144"/>
  </r>
  <r>
    <x v="1"/>
    <x v="6"/>
    <x v="11"/>
    <n v="144.1"/>
    <n v="162.4"/>
    <n v="148.4"/>
    <n v="145.9"/>
    <n v="121.5"/>
    <n v="148.80000000000001"/>
    <n v="215.7"/>
    <n v="134.6"/>
    <n v="115"/>
    <n v="146.30000000000001"/>
    <n v="130.5"/>
    <n v="157.19999999999999"/>
    <x v="172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923.9999999999998"/>
    <n v="423.09999999999997"/>
    <n v="292.60000000000002"/>
    <n v="132.19999999999999"/>
    <n v="998.99999999999989"/>
    <n v="147.99999999999997"/>
    <n v="141.03333333333333"/>
    <n v="146.30000000000001"/>
    <n v="132.19999999999999"/>
    <n v="142.71428571428569"/>
  </r>
  <r>
    <x v="2"/>
    <x v="6"/>
    <x v="1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x v="16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910.9"/>
    <n v="439.5"/>
    <n v="298.8"/>
    <n v="142.30000000000001"/>
    <n v="1023.6"/>
    <n v="146.99230769230769"/>
    <n v="146.5"/>
    <n v="149.4"/>
    <n v="142.30000000000001"/>
    <n v="146.22857142857143"/>
  </r>
  <r>
    <x v="0"/>
    <x v="6"/>
    <x v="1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x v="173"/>
    <n v="167.8"/>
    <n v="152.6"/>
    <n v="147.30000000000001"/>
    <n v="151.9"/>
    <n v="152.80000000000001"/>
    <n v="149.9"/>
    <n v="151.19999999999999"/>
    <n v="154.80000000000001"/>
    <n v="135"/>
    <n v="149.5"/>
    <n v="161.1"/>
    <n v="140.6"/>
    <n v="147.1"/>
    <n v="152.30000000000001"/>
    <n v="1940.9999999999995"/>
    <n v="451.79999999999995"/>
    <n v="304"/>
    <n v="149.9"/>
    <n v="1055.9000000000001"/>
    <n v="149.30769230769226"/>
    <n v="150.6"/>
    <n v="152"/>
    <n v="149.9"/>
    <n v="150.84285714285716"/>
  </r>
  <r>
    <x v="1"/>
    <x v="6"/>
    <x v="1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x v="174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956.7"/>
    <n v="424.20000000000005"/>
    <n v="292.60000000000002"/>
    <n v="133.6"/>
    <n v="1005.4"/>
    <n v="150.51538461538462"/>
    <n v="141.4"/>
    <n v="146.30000000000001"/>
    <n v="133.6"/>
    <n v="143.62857142857143"/>
  </r>
  <r>
    <x v="2"/>
    <x v="6"/>
    <x v="1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x v="17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946.1000000000001"/>
    <n v="440.6"/>
    <n v="298.60000000000002"/>
    <n v="143.69999999999999"/>
    <n v="1029.5999999999999"/>
    <n v="149.70000000000002"/>
    <n v="146.86666666666667"/>
    <n v="149.30000000000001"/>
    <n v="143.69999999999999"/>
    <n v="147.08571428571426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x v="176"/>
    <n v="168.6"/>
    <n v="152.80000000000001"/>
    <n v="147.4"/>
    <n v="152.1"/>
    <n v="153.9"/>
    <n v="150.4"/>
    <n v="151.69999999999999"/>
    <n v="155.69999999999999"/>
    <n v="136.30000000000001"/>
    <n v="150.1"/>
    <n v="161.69999999999999"/>
    <n v="142.5"/>
    <n v="148.1"/>
    <n v="151.9"/>
    <n v="1938.6"/>
    <n v="452.30000000000007"/>
    <n v="305.60000000000002"/>
    <n v="150.4"/>
    <n v="1063"/>
    <n v="149.12307692307692"/>
    <n v="150.76666666666668"/>
    <n v="152.80000000000001"/>
    <n v="150.4"/>
    <n v="151.85714285714286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x v="177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945.3999999999999"/>
    <n v="425.1"/>
    <n v="294"/>
    <n v="135.1"/>
    <n v="1010.5"/>
    <n v="149.64615384615382"/>
    <n v="141.70000000000002"/>
    <n v="147"/>
    <n v="135.1"/>
    <n v="144.35714285714286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x v="178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940.3999999999999"/>
    <n v="441.2"/>
    <n v="300.10000000000002"/>
    <n v="144.6"/>
    <n v="1035.8999999999999"/>
    <n v="149.26153846153846"/>
    <n v="147.06666666666666"/>
    <n v="150.05000000000001"/>
    <n v="144.6"/>
    <n v="147.98571428571427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x v="179"/>
    <n v="169.4"/>
    <n v="153"/>
    <n v="147.5"/>
    <n v="152.30000000000001"/>
    <n v="154.80000000000001"/>
    <n v="152.30000000000001"/>
    <n v="151.80000000000001"/>
    <n v="156.19999999999999"/>
    <n v="136"/>
    <n v="150.4"/>
    <n v="161.9"/>
    <n v="143.4"/>
    <n v="148.4"/>
    <n v="150.4"/>
    <n v="1909.7999999999997"/>
    <n v="452.8"/>
    <n v="306.60000000000002"/>
    <n v="152.30000000000001"/>
    <n v="1065.7"/>
    <n v="146.90769230769229"/>
    <n v="150.93333333333334"/>
    <n v="153.30000000000001"/>
    <n v="152.30000000000001"/>
    <n v="152.24285714285716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x v="180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916.6"/>
    <n v="426"/>
    <n v="295.20000000000005"/>
    <n v="138.9"/>
    <n v="1013.4"/>
    <n v="147.43076923076922"/>
    <n v="142"/>
    <n v="147.60000000000002"/>
    <n v="138.9"/>
    <n v="144.77142857142857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x v="181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911.6"/>
    <n v="442"/>
    <n v="301.20000000000005"/>
    <n v="147.19999999999999"/>
    <n v="1038.5"/>
    <n v="147.04615384615383"/>
    <n v="147.33333333333334"/>
    <n v="150.60000000000002"/>
    <n v="147.19999999999999"/>
    <n v="148.35714285714286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x v="182"/>
    <n v="170.5"/>
    <n v="153.4"/>
    <n v="147.6"/>
    <n v="152.5"/>
    <n v="154.5"/>
    <n v="153.4"/>
    <n v="151.5"/>
    <n v="156.69999999999999"/>
    <n v="135.80000000000001"/>
    <n v="151.19999999999999"/>
    <n v="161.19999999999999"/>
    <n v="145.1"/>
    <n v="148.6"/>
    <n v="149.80000000000001"/>
    <n v="1894.5999999999997"/>
    <n v="453.5"/>
    <n v="306"/>
    <n v="153.4"/>
    <n v="1069.0999999999999"/>
    <n v="145.73846153846151"/>
    <n v="151.16666666666666"/>
    <n v="153"/>
    <n v="153.4"/>
    <n v="152.72857142857143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x v="183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898.5"/>
    <n v="427.1"/>
    <n v="295.3"/>
    <n v="141.4"/>
    <n v="1017.3"/>
    <n v="146.03846153846155"/>
    <n v="142.36666666666667"/>
    <n v="147.65"/>
    <n v="141.4"/>
    <n v="145.32857142857142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x v="184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895.4"/>
    <n v="442.90000000000003"/>
    <n v="300.89999999999998"/>
    <n v="148.9"/>
    <n v="1042.2"/>
    <n v="145.80000000000001"/>
    <n v="147.63333333333335"/>
    <n v="150.44999999999999"/>
    <n v="148.9"/>
    <n v="148.8857142857143"/>
  </r>
  <r>
    <x v="0"/>
    <x v="7"/>
    <x v="3"/>
    <n v="147.19999999999999"/>
    <n v="167.20000000000002"/>
    <n v="146.9"/>
    <n v="155.6"/>
    <n v="137.1"/>
    <n v="147.30000000000001"/>
    <n v="162.69999999999999"/>
    <n v="150.19999999999999"/>
    <n v="119.8"/>
    <n v="158.69999999999999"/>
    <n v="139.19999999999999"/>
    <n v="159.29999999999998"/>
    <x v="183"/>
    <n v="169.5"/>
    <n v="153.06666666666666"/>
    <n v="147.5"/>
    <n v="152.29999999999998"/>
    <n v="155.6"/>
    <n v="148.4"/>
    <n v="151.66666666666666"/>
    <n v="154.30000000000001"/>
    <n v="136.03333333333333"/>
    <n v="150.56666666666669"/>
    <n v="161.6"/>
    <n v="143.66666666666666"/>
    <n v="148.36666666666667"/>
    <n v="150.70000000000002"/>
    <n v="1941.3"/>
    <n v="452.86666666666667"/>
    <n v="307.26666666666665"/>
    <n v="148.4"/>
    <n v="1064.0333333333333"/>
    <n v="149.33076923076922"/>
    <n v="150.95555555555555"/>
    <n v="153.63333333333333"/>
    <n v="148.4"/>
    <n v="152.00476190476189"/>
  </r>
  <r>
    <x v="1"/>
    <x v="7"/>
    <x v="3"/>
    <n v="151.80000000000001"/>
    <n v="167.56666666666669"/>
    <n v="151.9"/>
    <n v="155.5"/>
    <n v="131.6"/>
    <n v="152.9"/>
    <n v="180"/>
    <n v="150.80000000000001"/>
    <n v="121.2"/>
    <n v="154"/>
    <n v="133.5"/>
    <n v="158.86666666666667"/>
    <x v="178"/>
    <n v="172.03333333333333"/>
    <n v="147.33333333333334"/>
    <n v="133.5"/>
    <n v="145.23333333333332"/>
    <n v="155.6"/>
    <n v="137.1"/>
    <n v="140.43333333333337"/>
    <n v="144.80000000000001"/>
    <n v="125.3"/>
    <n v="137.6"/>
    <n v="152.26666666666665"/>
    <n v="143.63333333333333"/>
    <n v="138.5"/>
    <n v="147.73333333333332"/>
    <n v="1963.1333333333332"/>
    <n v="426.06666666666672"/>
    <n v="296.03333333333336"/>
    <n v="137.1"/>
    <n v="1014.1333333333333"/>
    <n v="151.0102564102564"/>
    <n v="142.02222222222224"/>
    <n v="148.01666666666668"/>
    <n v="137.1"/>
    <n v="144.87619047619049"/>
  </r>
  <r>
    <x v="2"/>
    <x v="7"/>
    <x v="3"/>
    <n v="148.69999999999999"/>
    <n v="167.29999999999998"/>
    <n v="148.80000000000001"/>
    <n v="155.6"/>
    <n v="135.1"/>
    <n v="149.9"/>
    <n v="168.6"/>
    <n v="150.4"/>
    <n v="120.3"/>
    <n v="157.1"/>
    <n v="136.80000000000001"/>
    <n v="159.1"/>
    <x v="185"/>
    <n v="170.16666666666666"/>
    <n v="150.83333333333334"/>
    <n v="141.70000000000002"/>
    <n v="149.5"/>
    <n v="155.6"/>
    <n v="144.1"/>
    <n v="146.33333333333334"/>
    <n v="150.69999999999999"/>
    <n v="130.36666666666667"/>
    <n v="143.23333333333332"/>
    <n v="156.13333333333333"/>
    <n v="143.63333333333335"/>
    <n v="143.6"/>
    <n v="149.29999999999998"/>
    <n v="1949.1"/>
    <n v="442.03333333333336"/>
    <n v="301.93333333333334"/>
    <n v="144.1"/>
    <n v="1037.8333333333333"/>
    <n v="149.93076923076922"/>
    <n v="147.34444444444446"/>
    <n v="150.96666666666667"/>
    <n v="144.1"/>
    <n v="148.26190476190476"/>
  </r>
  <r>
    <x v="0"/>
    <x v="7"/>
    <x v="4"/>
    <n v="145.26666666666668"/>
    <n v="167.16666666666666"/>
    <n v="148.46666666666667"/>
    <n v="152.73333333333332"/>
    <n v="134.69999999999999"/>
    <n v="143.26666666666668"/>
    <n v="160.03333333333333"/>
    <n v="144.6"/>
    <n v="115.16666666666667"/>
    <n v="155.16666666666666"/>
    <n v="139.79999999999998"/>
    <n v="159.49999999999997"/>
    <x v="186"/>
    <n v="169.79999999999998"/>
    <n v="153.15555555555557"/>
    <n v="147.53333333333333"/>
    <n v="152.36666666666665"/>
    <n v="154.96666666666667"/>
    <n v="151.36666666666667"/>
    <n v="151.65555555555554"/>
    <n v="155.73333333333332"/>
    <n v="135.94444444444446"/>
    <n v="150.7222222222222"/>
    <n v="161.56666666666663"/>
    <n v="144.05555555555554"/>
    <n v="148.45555555555555"/>
    <n v="150.29999999999998"/>
    <n v="1915.2333333333331"/>
    <n v="453.05555555555554"/>
    <n v="306.62222222222221"/>
    <n v="151.36666666666667"/>
    <n v="1066.2777777777776"/>
    <n v="147.325641025641"/>
    <n v="151.0185185185185"/>
    <n v="153.3111111111111"/>
    <n v="151.36666666666667"/>
    <n v="152.32539682539681"/>
  </r>
  <r>
    <x v="1"/>
    <x v="7"/>
    <x v="4"/>
    <n v="148.16666666666666"/>
    <n v="167.55555555555557"/>
    <n v="151.29999999999998"/>
    <n v="152.43333333333334"/>
    <n v="128.83333333333334"/>
    <n v="146.43333333333337"/>
    <n v="176.23333333333335"/>
    <n v="143.36666666666667"/>
    <n v="116.73333333333335"/>
    <n v="151.96666666666667"/>
    <n v="132.29999999999998"/>
    <n v="158.98888888888891"/>
    <x v="187"/>
    <n v="172.44444444444446"/>
    <n v="147.44444444444443"/>
    <n v="133.6"/>
    <n v="145.34444444444443"/>
    <n v="154.96666666666667"/>
    <n v="139.13333333333333"/>
    <n v="140.54444444444445"/>
    <n v="144.73333333333335"/>
    <n v="125.03333333333332"/>
    <n v="137.73333333333332"/>
    <n v="152.32222222222222"/>
    <n v="144.14444444444445"/>
    <n v="138.53333333333333"/>
    <n v="147.57777777777775"/>
    <n v="1926.077777777778"/>
    <n v="426.38888888888886"/>
    <n v="295.51111111111112"/>
    <n v="139.13333333333333"/>
    <n v="1014.9444444444445"/>
    <n v="148.15982905982906"/>
    <n v="142.12962962962962"/>
    <n v="147.75555555555556"/>
    <n v="139.13333333333333"/>
    <n v="144.99206349206349"/>
  </r>
  <r>
    <x v="2"/>
    <x v="7"/>
    <x v="4"/>
    <n v="146.19999999999999"/>
    <n v="167.26666666666665"/>
    <n v="149.56666666666666"/>
    <n v="152.63333333333335"/>
    <n v="132.56666666666663"/>
    <n v="144.73333333333332"/>
    <n v="165.53333333333333"/>
    <n v="144.20000000000002"/>
    <n v="115.7"/>
    <n v="154.1"/>
    <n v="136.66666666666666"/>
    <n v="159.26666666666665"/>
    <x v="188"/>
    <n v="170.48888888888891"/>
    <n v="150.94444444444443"/>
    <n v="141.76666666666668"/>
    <n v="149.6"/>
    <n v="154.96666666666667"/>
    <n v="146.73333333333332"/>
    <n v="146.37777777777777"/>
    <n v="151.56666666666666"/>
    <n v="130.1888888888889"/>
    <n v="143.37777777777777"/>
    <n v="156.14444444444445"/>
    <n v="144.07777777777778"/>
    <n v="143.66666666666666"/>
    <n v="149"/>
    <n v="1918.7"/>
    <n v="442.31111111111113"/>
    <n v="301.34444444444443"/>
    <n v="146.73333333333332"/>
    <n v="1039.5111111111112"/>
    <n v="147.59230769230768"/>
    <n v="147.43703703703704"/>
    <n v="150.67222222222222"/>
    <n v="146.73333333333332"/>
    <n v="148.50158730158731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x v="189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306.39999999999998"/>
    <n v="144.9"/>
    <n v="1099.9000000000001"/>
    <n v="150.07692307692307"/>
    <n v="152.93333333333331"/>
    <n v="153.19999999999999"/>
    <n v="144.9"/>
    <n v="157.12857142857143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x v="190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295.10000000000002"/>
    <n v="137.1"/>
    <n v="1055.3"/>
    <n v="153.46153846153845"/>
    <n v="144.29999999999998"/>
    <n v="147.55000000000001"/>
    <n v="137.1"/>
    <n v="150.75714285714284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x v="191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301.10000000000002"/>
    <n v="141.9"/>
    <n v="1076.2"/>
    <n v="151.2923076923077"/>
    <n v="149.43333333333331"/>
    <n v="150.55000000000001"/>
    <n v="141.9"/>
    <n v="153.74285714285716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x v="189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306.39999999999998"/>
    <n v="144.9"/>
    <n v="1099.9000000000001"/>
    <n v="150.07692307692307"/>
    <n v="152.93333333333331"/>
    <n v="153.19999999999999"/>
    <n v="144.9"/>
    <n v="157.12857142857143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x v="190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295.10000000000002"/>
    <n v="137.1"/>
    <n v="1055.3"/>
    <n v="153.46153846153845"/>
    <n v="144.29999999999998"/>
    <n v="147.55000000000001"/>
    <n v="137.1"/>
    <n v="150.75714285714284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x v="191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301.10000000000002"/>
    <n v="141.9"/>
    <n v="1076.2"/>
    <n v="151.2923076923077"/>
    <n v="149.43333333333331"/>
    <n v="150.55000000000001"/>
    <n v="141.9"/>
    <n v="153.74285714285716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x v="192"/>
    <n v="180.9"/>
    <n v="155.1"/>
    <n v="149.30000000000001"/>
    <n v="154.30000000000001"/>
    <n v="155.5"/>
    <n v="145.80000000000001"/>
    <n v="151.9"/>
    <n v="158.80000000000001"/>
    <n v="143.6"/>
    <n v="152.19999999999999"/>
    <n v="162.69999999999999"/>
    <n v="153.6"/>
    <n v="153"/>
    <n v="154.69999999999999"/>
    <n v="1978.6"/>
    <n v="458.7"/>
    <n v="307.39999999999998"/>
    <n v="145.80000000000001"/>
    <n v="1104.8"/>
    <n v="152.19999999999999"/>
    <n v="152.9"/>
    <n v="153.69999999999999"/>
    <n v="145.80000000000001"/>
    <n v="157.82857142857142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x v="193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2024.8999999999999"/>
    <n v="433"/>
    <n v="300"/>
    <n v="138.30000000000001"/>
    <n v="1066.5"/>
    <n v="155.76153846153846"/>
    <n v="144.33333333333334"/>
    <n v="150"/>
    <n v="138.30000000000001"/>
    <n v="152.35714285714286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x v="190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995.1999999999998"/>
    <n v="448.2"/>
    <n v="303.89999999999998"/>
    <n v="143"/>
    <n v="1083.8999999999999"/>
    <n v="153.47692307692307"/>
    <n v="149.4"/>
    <n v="151.94999999999999"/>
    <n v="143"/>
    <n v="154.84285714285713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x v="194"/>
    <n v="182.9"/>
    <n v="155.4"/>
    <n v="149.9"/>
    <n v="154.6"/>
    <n v="156.30000000000001"/>
    <n v="146.4"/>
    <n v="151.6"/>
    <n v="159.1"/>
    <n v="144.6"/>
    <n v="152.80000000000001"/>
    <n v="161.1"/>
    <n v="157.4"/>
    <n v="153.69999999999999"/>
    <n v="155.4"/>
    <n v="1987.3999999999999"/>
    <n v="459.9"/>
    <n v="307.89999999999998"/>
    <n v="146.4"/>
    <n v="1111.6000000000001"/>
    <n v="152.87692307692308"/>
    <n v="153.29999999999998"/>
    <n v="153.94999999999999"/>
    <n v="146.4"/>
    <n v="158.80000000000001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x v="195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2041.6000000000001"/>
    <n v="434.6"/>
    <n v="301.70000000000005"/>
    <n v="137.19999999999999"/>
    <n v="1076.3000000000002"/>
    <n v="157.04615384615386"/>
    <n v="144.86666666666667"/>
    <n v="150.85000000000002"/>
    <n v="137.19999999999999"/>
    <n v="153.7571428571429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x v="196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2007"/>
    <n v="449.70000000000005"/>
    <n v="305"/>
    <n v="142.9"/>
    <n v="1092.0999999999999"/>
    <n v="154.38461538461539"/>
    <n v="149.9"/>
    <n v="152.5"/>
    <n v="142.9"/>
    <n v="156.01428571428571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x v="197"/>
    <n v="182.7"/>
    <n v="155.69999999999999"/>
    <n v="150.6"/>
    <n v="155"/>
    <n v="156.5"/>
    <n v="146.80000000000001"/>
    <n v="152"/>
    <n v="159.5"/>
    <n v="146.4"/>
    <n v="152.4"/>
    <n v="162.5"/>
    <n v="156.19999999999999"/>
    <n v="154.30000000000001"/>
    <n v="157.5"/>
    <n v="2030.9"/>
    <n v="461.29999999999995"/>
    <n v="308.5"/>
    <n v="146.80000000000001"/>
    <n v="1114"/>
    <n v="156.22307692307692"/>
    <n v="153.76666666666665"/>
    <n v="154.25"/>
    <n v="146.80000000000001"/>
    <n v="159.14285714285714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x v="198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2080.1999999999998"/>
    <n v="434.90000000000003"/>
    <n v="301.60000000000002"/>
    <n v="137.1"/>
    <n v="1077.0999999999999"/>
    <n v="160.01538461538459"/>
    <n v="144.96666666666667"/>
    <n v="150.80000000000001"/>
    <n v="137.1"/>
    <n v="153.87142857142857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x v="199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2048.6000000000004"/>
    <n v="450.59999999999997"/>
    <n v="305.2"/>
    <n v="143.1"/>
    <n v="1093.5999999999999"/>
    <n v="157.5846153846154"/>
    <n v="150.19999999999999"/>
    <n v="152.6"/>
    <n v="143.1"/>
    <n v="156.22857142857143"/>
  </r>
  <r>
    <x v="0"/>
    <x v="7"/>
    <x v="11"/>
    <n v="145.4"/>
    <n v="188.6"/>
    <n v="171.6"/>
    <n v="153.80000000000001"/>
    <n v="145.4"/>
    <n v="146.5"/>
    <n v="222.2"/>
    <n v="155.9"/>
    <n v="114.9"/>
    <n v="162"/>
    <n v="150"/>
    <n v="162.69999999999999"/>
    <x v="200"/>
    <n v="183.4"/>
    <n v="156.30000000000001"/>
    <n v="151"/>
    <n v="155.5"/>
    <n v="158"/>
    <n v="147.5"/>
    <n v="152.80000000000001"/>
    <n v="160.4"/>
    <n v="146.1"/>
    <n v="153.6"/>
    <n v="161.6"/>
    <n v="156.19999999999999"/>
    <n v="154.5"/>
    <n v="159.80000000000001"/>
    <n v="2082.4"/>
    <n v="462.8"/>
    <n v="310.8"/>
    <n v="147.5"/>
    <n v="1115.8000000000002"/>
    <n v="160.1846153846154"/>
    <n v="154.26666666666668"/>
    <n v="155.4"/>
    <n v="147.5"/>
    <n v="159.40000000000003"/>
  </r>
  <r>
    <x v="1"/>
    <x v="7"/>
    <x v="11"/>
    <n v="149.69999999999999"/>
    <n v="195.5"/>
    <n v="176.9"/>
    <n v="153.9"/>
    <n v="138"/>
    <n v="150.5"/>
    <n v="245.3"/>
    <n v="158.69999999999999"/>
    <n v="117.2"/>
    <n v="161.4"/>
    <n v="141.5"/>
    <n v="165.1"/>
    <x v="201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2120.6999999999998"/>
    <n v="436.3"/>
    <n v="303.10000000000002"/>
    <n v="137.30000000000001"/>
    <n v="1081.3"/>
    <n v="163.1307692307692"/>
    <n v="145.43333333333334"/>
    <n v="151.55000000000001"/>
    <n v="137.30000000000001"/>
    <n v="154.47142857142856"/>
  </r>
  <r>
    <x v="2"/>
    <x v="7"/>
    <x v="1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x v="202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2095.6"/>
    <n v="452.00000000000006"/>
    <n v="307.2"/>
    <n v="143.6"/>
    <n v="1097"/>
    <n v="161.19999999999999"/>
    <n v="150.66666666666669"/>
    <n v="153.6"/>
    <n v="143.6"/>
    <n v="156.71428571428572"/>
  </r>
  <r>
    <x v="0"/>
    <x v="7"/>
    <x v="12"/>
    <n v="144.6"/>
    <n v="188.5"/>
    <n v="173.4"/>
    <n v="154"/>
    <n v="150"/>
    <n v="145.9"/>
    <n v="225.2"/>
    <n v="159.5"/>
    <n v="114.4"/>
    <n v="163.5"/>
    <n v="153.4"/>
    <n v="163.6"/>
    <x v="203"/>
    <n v="183.6"/>
    <n v="157"/>
    <n v="151.6"/>
    <n v="156.30000000000001"/>
    <n v="158.4"/>
    <n v="148.69999999999999"/>
    <n v="153.4"/>
    <n v="161.6"/>
    <n v="146.4"/>
    <n v="153.9"/>
    <n v="162.9"/>
    <n v="156.6"/>
    <n v="155.19999999999999"/>
    <n v="160.69999999999999"/>
    <n v="2100.5"/>
    <n v="464.90000000000003"/>
    <n v="311.8"/>
    <n v="148.69999999999999"/>
    <n v="1120.1999999999998"/>
    <n v="161.57692307692307"/>
    <n v="154.96666666666667"/>
    <n v="155.9"/>
    <n v="148.69999999999999"/>
    <n v="160.02857142857141"/>
  </r>
  <r>
    <x v="1"/>
    <x v="7"/>
    <x v="12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x v="201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2125.4"/>
    <n v="438.20000000000005"/>
    <n v="303.89999999999998"/>
    <n v="137.9"/>
    <n v="1084.5999999999999"/>
    <n v="163.49230769230769"/>
    <n v="146.06666666666669"/>
    <n v="151.94999999999999"/>
    <n v="137.9"/>
    <n v="154.94285714285712"/>
  </r>
  <r>
    <x v="2"/>
    <x v="7"/>
    <x v="12"/>
    <n v="146"/>
    <n v="191"/>
    <n v="175.3"/>
    <n v="154.1"/>
    <n v="146.6"/>
    <n v="147.69999999999999"/>
    <n v="230.5"/>
    <n v="160.19999999999999"/>
    <n v="115.3"/>
    <n v="163"/>
    <n v="149.19999999999999"/>
    <n v="164.8"/>
    <x v="20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2109.1"/>
    <n v="454"/>
    <n v="308.10000000000002"/>
    <n v="144.6"/>
    <n v="1100.6000000000001"/>
    <n v="162.23846153846154"/>
    <n v="151.33333333333334"/>
    <n v="154.05000000000001"/>
    <n v="144.6"/>
    <n v="157.22857142857146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x v="197"/>
    <n v="184.6"/>
    <n v="157.5"/>
    <n v="152.4"/>
    <n v="156.80000000000001"/>
    <n v="157.69999999999999"/>
    <n v="150.9"/>
    <n v="153.9"/>
    <n v="162.5"/>
    <n v="147.5"/>
    <n v="155.1"/>
    <n v="163.5"/>
    <n v="156.19999999999999"/>
    <n v="155.9"/>
    <n v="158.5"/>
    <n v="2065.6999999999998"/>
    <n v="466.7"/>
    <n v="311.60000000000002"/>
    <n v="150.9"/>
    <n v="1125.3"/>
    <n v="158.89999999999998"/>
    <n v="155.56666666666666"/>
    <n v="155.80000000000001"/>
    <n v="150.9"/>
    <n v="160.75714285714284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x v="200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2097"/>
    <n v="440"/>
    <n v="303.39999999999998"/>
    <n v="142.9"/>
    <n v="1089.6000000000001"/>
    <n v="161.30769230769232"/>
    <n v="146.66666666666666"/>
    <n v="151.69999999999999"/>
    <n v="142.9"/>
    <n v="155.65714285714287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x v="205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2076.5"/>
    <n v="455.8"/>
    <n v="307.7"/>
    <n v="147.9"/>
    <n v="1105.1999999999998"/>
    <n v="159.73076923076923"/>
    <n v="151.93333333333334"/>
    <n v="153.85"/>
    <n v="147.9"/>
    <n v="157.88571428571427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x v="206"/>
    <n v="186.5"/>
    <n v="159.1"/>
    <n v="153.9"/>
    <n v="158.4"/>
    <n v="159.80000000000001"/>
    <n v="154.4"/>
    <n v="154.80000000000001"/>
    <n v="164.3"/>
    <n v="150.19999999999999"/>
    <n v="157"/>
    <n v="163.6"/>
    <n v="155.19999999999999"/>
    <n v="157.19999999999999"/>
    <n v="156.69999999999999"/>
    <n v="2025.3"/>
    <n v="471.4"/>
    <n v="314.60000000000002"/>
    <n v="154.4"/>
    <n v="1134"/>
    <n v="155.7923076923077"/>
    <n v="157.13333333333333"/>
    <n v="157.30000000000001"/>
    <n v="154.4"/>
    <n v="162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x v="207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2066"/>
    <n v="444.2"/>
    <n v="306.3"/>
    <n v="149.1"/>
    <n v="1100"/>
    <n v="158.92307692307693"/>
    <n v="148.06666666666666"/>
    <n v="153.15"/>
    <n v="149.1"/>
    <n v="157.14285714285714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x v="208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2039.3000000000002"/>
    <n v="460.40000000000003"/>
    <n v="310.70000000000005"/>
    <n v="152.4"/>
    <n v="1114.9000000000001"/>
    <n v="156.8692307692308"/>
    <n v="153.46666666666667"/>
    <n v="155.35000000000002"/>
    <n v="152.4"/>
    <n v="159.27142857142857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x v="209"/>
    <n v="186.1"/>
    <n v="159.6"/>
    <n v="154.4"/>
    <n v="158.9"/>
    <n v="159.9"/>
    <n v="156"/>
    <n v="154.80000000000001"/>
    <n v="164.6"/>
    <n v="151.30000000000001"/>
    <n v="157.80000000000001"/>
    <n v="163.80000000000001"/>
    <n v="153.1"/>
    <n v="157.30000000000001"/>
    <n v="156.69999999999999"/>
    <n v="2025.7"/>
    <n v="472.9"/>
    <n v="314.70000000000005"/>
    <n v="156"/>
    <n v="1134"/>
    <n v="155.82307692307694"/>
    <n v="157.63333333333333"/>
    <n v="157.35000000000002"/>
    <n v="156"/>
    <n v="162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x v="210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2064.4999999999995"/>
    <n v="446.4"/>
    <n v="307.10000000000002"/>
    <n v="154.80000000000001"/>
    <n v="1103.2"/>
    <n v="158.80769230769226"/>
    <n v="148.79999999999998"/>
    <n v="153.55000000000001"/>
    <n v="154.80000000000001"/>
    <n v="157.6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x v="211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2039.3999999999999"/>
    <n v="462.1"/>
    <n v="311.10000000000002"/>
    <n v="155.5"/>
    <n v="1116.3999999999999"/>
    <n v="156.87692307692308"/>
    <n v="154.03333333333333"/>
    <n v="155.55000000000001"/>
    <n v="155.5"/>
    <n v="159.48571428571427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x v="212"/>
    <n v="186.8"/>
    <n v="160.69999999999999"/>
    <n v="155.1"/>
    <n v="159.9"/>
    <n v="161.4"/>
    <n v="156"/>
    <n v="155.5"/>
    <n v="165.3"/>
    <n v="151.69999999999999"/>
    <n v="158.6"/>
    <n v="164.1"/>
    <n v="154.6"/>
    <n v="158"/>
    <n v="157.6"/>
    <n v="2049.5"/>
    <n v="475.69999999999993"/>
    <n v="316.89999999999998"/>
    <n v="156"/>
    <n v="1139.1000000000001"/>
    <n v="157.65384615384616"/>
    <n v="158.56666666666663"/>
    <n v="158.44999999999999"/>
    <n v="156"/>
    <n v="162.72857142857146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x v="213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2089.6"/>
    <n v="448.6"/>
    <n v="309"/>
    <n v="154.9"/>
    <n v="1107.8000000000002"/>
    <n v="160.73846153846154"/>
    <n v="149.53333333333333"/>
    <n v="154.5"/>
    <n v="154.9"/>
    <n v="158.2571428571429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x v="196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2064.1"/>
    <n v="464.6"/>
    <n v="313.20000000000005"/>
    <n v="155.6"/>
    <n v="1121"/>
    <n v="158.77692307692308"/>
    <n v="154.86666666666667"/>
    <n v="156.60000000000002"/>
    <n v="155.6"/>
    <n v="160.14285714285714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x v="214"/>
    <n v="189.6"/>
    <n v="165.3"/>
    <n v="160.6"/>
    <n v="164.5"/>
    <n v="161.6"/>
    <n v="161.69999999999999"/>
    <n v="158.80000000000001"/>
    <n v="169.1"/>
    <n v="153.19999999999999"/>
    <n v="160"/>
    <n v="167.6"/>
    <n v="159.30000000000001"/>
    <n v="161.1"/>
    <n v="161.1"/>
    <n v="2095.2999999999997"/>
    <n v="490.4"/>
    <n v="320.39999999999998"/>
    <n v="161.69999999999999"/>
    <n v="1159.9000000000001"/>
    <n v="161.17692307692306"/>
    <n v="163.46666666666667"/>
    <n v="160.19999999999999"/>
    <n v="161.69999999999999"/>
    <n v="165.70000000000002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x v="215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2124.7000000000003"/>
    <n v="450.79999999999995"/>
    <n v="311.7"/>
    <n v="155.5"/>
    <n v="1122.6000000000001"/>
    <n v="163.43846153846155"/>
    <n v="150.26666666666665"/>
    <n v="155.85"/>
    <n v="155.5"/>
    <n v="160.37142857142859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x v="216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2105.7000000000003"/>
    <n v="474.29999999999995"/>
    <n v="316.29999999999995"/>
    <n v="159.4"/>
    <n v="1139.0000000000002"/>
    <n v="161.9769230769231"/>
    <n v="158.1"/>
    <n v="158.14999999999998"/>
    <n v="159.4"/>
    <n v="162.71428571428575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x v="217"/>
    <n v="189.1"/>
    <n v="165.3"/>
    <n v="159.9"/>
    <n v="164.6"/>
    <n v="160.5"/>
    <n v="162.1"/>
    <n v="159.19999999999999"/>
    <n v="169.7"/>
    <n v="154.19999999999999"/>
    <n v="160.4"/>
    <n v="166.8"/>
    <n v="159.4"/>
    <n v="161.5"/>
    <n v="162.1"/>
    <n v="2122.6"/>
    <n v="489.80000000000007"/>
    <n v="319.7"/>
    <n v="162.1"/>
    <n v="1161.0999999999999"/>
    <n v="163.27692307692308"/>
    <n v="163.26666666666668"/>
    <n v="159.85"/>
    <n v="162.1"/>
    <n v="165.87142857142857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x v="218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2154.1999999999998"/>
    <n v="452.6"/>
    <n v="310.3"/>
    <n v="156.1"/>
    <n v="1124.0999999999999"/>
    <n v="165.7076923076923"/>
    <n v="150.86666666666667"/>
    <n v="155.15"/>
    <n v="156.1"/>
    <n v="160.58571428571426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x v="219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2133.9"/>
    <n v="474.7"/>
    <n v="315.3"/>
    <n v="159.80000000000001"/>
    <n v="1140.8"/>
    <n v="164.14615384615385"/>
    <n v="158.23333333333332"/>
    <n v="157.65"/>
    <n v="159.80000000000001"/>
    <n v="162.97142857142856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x v="220"/>
    <n v="189.7"/>
    <n v="166"/>
    <n v="161.1"/>
    <n v="165.3"/>
    <n v="161.5"/>
    <n v="162.5"/>
    <n v="160.30000000000001"/>
    <n v="170.4"/>
    <n v="157.1"/>
    <n v="160.69999999999999"/>
    <n v="167.2"/>
    <n v="160.4"/>
    <n v="162.80000000000001"/>
    <n v="163.19999999999999"/>
    <n v="2132.4"/>
    <n v="492.40000000000003"/>
    <n v="321.8"/>
    <n v="162.5"/>
    <n v="1168.3"/>
    <n v="164.03076923076924"/>
    <n v="164.13333333333335"/>
    <n v="160.9"/>
    <n v="162.5"/>
    <n v="166.9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x v="221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2171.8000000000002"/>
    <n v="455.3"/>
    <n v="312.2"/>
    <n v="157.69999999999999"/>
    <n v="1132.5999999999999"/>
    <n v="167.06153846153848"/>
    <n v="151.76666666666668"/>
    <n v="156.1"/>
    <n v="157.69999999999999"/>
    <n v="161.79999999999998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x v="222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2147"/>
    <n v="477.29999999999995"/>
    <n v="317.3"/>
    <n v="160.69999999999999"/>
    <n v="1148.9000000000001"/>
    <n v="165.15384615384616"/>
    <n v="159.1"/>
    <n v="158.65"/>
    <n v="160.69999999999999"/>
    <n v="164.12857142857143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x v="223"/>
    <n v="190.2"/>
    <n v="167"/>
    <n v="162.6"/>
    <n v="166.3"/>
    <n v="162.1"/>
    <n v="163.1"/>
    <n v="160.9"/>
    <n v="171.1"/>
    <n v="157.69999999999999"/>
    <n v="161.1"/>
    <n v="167.5"/>
    <n v="160.30000000000001"/>
    <n v="163.30000000000001"/>
    <n v="163.6"/>
    <n v="2130.8000000000002"/>
    <n v="495.90000000000003"/>
    <n v="323"/>
    <n v="163.1"/>
    <n v="1171.2"/>
    <n v="163.90769230769232"/>
    <n v="165.3"/>
    <n v="161.5"/>
    <n v="163.1"/>
    <n v="167.31428571428572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x v="224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2157.9"/>
    <n v="460.7"/>
    <n v="315.29999999999995"/>
    <n v="160.69999999999999"/>
    <n v="1139.4000000000001"/>
    <n v="165.99230769230769"/>
    <n v="153.56666666666666"/>
    <n v="157.64999999999998"/>
    <n v="160.69999999999999"/>
    <n v="162.77142857142857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x v="222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2142"/>
    <n v="483"/>
    <n v="319.60000000000002"/>
    <n v="162.6"/>
    <n v="1155.8999999999999"/>
    <n v="164.76923076923077"/>
    <n v="161"/>
    <n v="159.80000000000001"/>
    <n v="162.6"/>
    <n v="165.12857142857141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x v="225"/>
    <n v="190.5"/>
    <n v="167.7"/>
    <n v="163.6"/>
    <n v="167.1"/>
    <n v="162.1"/>
    <n v="163.69999999999999"/>
    <n v="161.30000000000001"/>
    <n v="171.9"/>
    <n v="157.80000000000001"/>
    <n v="162.69999999999999"/>
    <n v="168.5"/>
    <n v="160.19999999999999"/>
    <n v="163.80000000000001"/>
    <n v="164"/>
    <n v="2133.6"/>
    <n v="498.4"/>
    <n v="323.39999999999998"/>
    <n v="163.69999999999999"/>
    <n v="1175.4000000000001"/>
    <n v="164.12307692307692"/>
    <n v="166.13333333333333"/>
    <n v="161.69999999999999"/>
    <n v="163.69999999999999"/>
    <n v="167.91428571428574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x v="224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2157.9"/>
    <n v="460.79999999999995"/>
    <n v="315.39999999999998"/>
    <n v="160.80000000000001"/>
    <n v="1139.5999999999999"/>
    <n v="165.99230769230769"/>
    <n v="153.6"/>
    <n v="157.69999999999999"/>
    <n v="160.80000000000001"/>
    <n v="162.79999999999998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x v="222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2142"/>
    <n v="483.2"/>
    <n v="319.60000000000002"/>
    <n v="162.6"/>
    <n v="1155.8999999999999"/>
    <n v="164.76923076923077"/>
    <n v="161.06666666666666"/>
    <n v="159.80000000000001"/>
    <n v="162.6"/>
    <n v="165.12857142857141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x v="226"/>
    <n v="191.2"/>
    <n v="168.9"/>
    <n v="164.8"/>
    <n v="168.3"/>
    <n v="163.6"/>
    <n v="165.5"/>
    <n v="162"/>
    <n v="172.5"/>
    <n v="159.5"/>
    <n v="163.19999999999999"/>
    <n v="169"/>
    <n v="161.1"/>
    <n v="164.7"/>
    <n v="166.3"/>
    <n v="2164.1999999999998"/>
    <n v="502.00000000000006"/>
    <n v="325.60000000000002"/>
    <n v="165.5"/>
    <n v="1181.2"/>
    <n v="166.47692307692307"/>
    <n v="167.33333333333334"/>
    <n v="162.80000000000001"/>
    <n v="165.5"/>
    <n v="168.74285714285716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x v="227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2198.4000000000005"/>
    <n v="463.50000000000006"/>
    <n v="317.89999999999998"/>
    <n v="162.19999999999999"/>
    <n v="1145.3999999999999"/>
    <n v="169.10769230769236"/>
    <n v="154.50000000000003"/>
    <n v="158.94999999999999"/>
    <n v="162.19999999999999"/>
    <n v="163.62857142857141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x v="228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2175.5"/>
    <n v="486.3"/>
    <n v="322"/>
    <n v="164.2"/>
    <n v="1161.8"/>
    <n v="167.34615384615384"/>
    <n v="162.1"/>
    <n v="161"/>
    <n v="164.2"/>
    <n v="165.97142857142856"/>
  </r>
  <r>
    <x v="0"/>
    <x v="8"/>
    <x v="11"/>
    <n v="146.9"/>
    <n v="199.8"/>
    <n v="171.5"/>
    <n v="159.1"/>
    <n v="198.4"/>
    <n v="153.19999999999999"/>
    <n v="183.9"/>
    <n v="165.4"/>
    <n v="122.1"/>
    <n v="170.8"/>
    <n v="169.1"/>
    <n v="174.3"/>
    <x v="229"/>
    <n v="191.4"/>
    <n v="170.4"/>
    <n v="166"/>
    <n v="169.8"/>
    <n v="164.2"/>
    <n v="165.3"/>
    <n v="162.9"/>
    <n v="173.4"/>
    <n v="158.9"/>
    <n v="163.80000000000001"/>
    <n v="169.3"/>
    <n v="162.4"/>
    <n v="165.2"/>
    <n v="167.6"/>
    <n v="2182"/>
    <n v="506.2"/>
    <n v="327.10000000000002"/>
    <n v="165.3"/>
    <n v="1184.4000000000001"/>
    <n v="167.84615384615384"/>
    <n v="168.73333333333332"/>
    <n v="163.55000000000001"/>
    <n v="165.3"/>
    <n v="169.20000000000002"/>
  </r>
  <r>
    <x v="1"/>
    <x v="8"/>
    <x v="11"/>
    <n v="151"/>
    <n v="204.9"/>
    <n v="175.4"/>
    <n v="159.6"/>
    <n v="175.8"/>
    <n v="160.30000000000001"/>
    <n v="229.1"/>
    <n v="165.1"/>
    <n v="123.1"/>
    <n v="167.2"/>
    <n v="156.1"/>
    <n v="176.8"/>
    <x v="230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2217.8999999999996"/>
    <n v="467.3"/>
    <n v="319.39999999999998"/>
    <n v="161.6"/>
    <n v="1149"/>
    <n v="170.60769230769228"/>
    <n v="155.76666666666668"/>
    <n v="159.69999999999999"/>
    <n v="161.6"/>
    <n v="164.14285714285714"/>
  </r>
  <r>
    <x v="2"/>
    <x v="8"/>
    <x v="11"/>
    <n v="148.19999999999999"/>
    <n v="201.6"/>
    <n v="173"/>
    <n v="159.30000000000001"/>
    <n v="190.1"/>
    <n v="156.5"/>
    <n v="199.2"/>
    <n v="165.3"/>
    <n v="122.4"/>
    <n v="169.6"/>
    <n v="163.69999999999999"/>
    <n v="175.5"/>
    <x v="231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2194.1"/>
    <n v="490.40000000000003"/>
    <n v="323.5"/>
    <n v="163.9"/>
    <n v="1165.3"/>
    <n v="168.77692307692308"/>
    <n v="163.46666666666667"/>
    <n v="161.75"/>
    <n v="163.9"/>
    <n v="166.47142857142856"/>
  </r>
  <r>
    <x v="0"/>
    <x v="8"/>
    <x v="12"/>
    <n v="147.4"/>
    <n v="197"/>
    <n v="176.5"/>
    <n v="159.80000000000001"/>
    <n v="195.8"/>
    <n v="152"/>
    <n v="172.3"/>
    <n v="164.5"/>
    <n v="120.6"/>
    <n v="171.7"/>
    <n v="169.7"/>
    <n v="175.1"/>
    <x v="232"/>
    <n v="190.8"/>
    <n v="171.8"/>
    <n v="167.3"/>
    <n v="171.2"/>
    <n v="163.4"/>
    <n v="165.6"/>
    <n v="163.9"/>
    <n v="174"/>
    <n v="160.1"/>
    <n v="164.5"/>
    <n v="169.7"/>
    <n v="162.80000000000001"/>
    <n v="166"/>
    <n v="167"/>
    <n v="2168.1999999999998"/>
    <n v="510.3"/>
    <n v="327.3"/>
    <n v="165.6"/>
    <n v="1187.8999999999999"/>
    <n v="166.78461538461536"/>
    <n v="170.1"/>
    <n v="163.65"/>
    <n v="165.6"/>
    <n v="169.7"/>
  </r>
  <r>
    <x v="1"/>
    <x v="8"/>
    <x v="12"/>
    <n v="151.6"/>
    <n v="202.2"/>
    <n v="180"/>
    <n v="160"/>
    <n v="173.5"/>
    <n v="158.30000000000001"/>
    <n v="219.5"/>
    <n v="164.2"/>
    <n v="121.9"/>
    <n v="168.2"/>
    <n v="156.5"/>
    <n v="178.2"/>
    <x v="233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2206.3000000000002"/>
    <n v="470.7"/>
    <n v="319.39999999999998"/>
    <n v="161.69999999999999"/>
    <n v="1152.0999999999999"/>
    <n v="169.71538461538464"/>
    <n v="156.9"/>
    <n v="159.69999999999999"/>
    <n v="161.69999999999999"/>
    <n v="164.58571428571426"/>
  </r>
  <r>
    <x v="2"/>
    <x v="8"/>
    <x v="12"/>
    <n v="148.69999999999999"/>
    <n v="198.8"/>
    <n v="177.9"/>
    <n v="159.9"/>
    <n v="187.6"/>
    <n v="154.9"/>
    <n v="188.3"/>
    <n v="164.4"/>
    <n v="121"/>
    <n v="170.5"/>
    <n v="164.2"/>
    <n v="176.5"/>
    <x v="234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2180.9"/>
    <n v="494.2"/>
    <n v="323.60000000000002"/>
    <n v="164.1"/>
    <n v="1168.3"/>
    <n v="167.76153846153846"/>
    <n v="164.73333333333332"/>
    <n v="161.80000000000001"/>
    <n v="164.1"/>
    <n v="166.9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x v="235"/>
    <n v="190.7"/>
    <n v="173.2"/>
    <n v="169.3"/>
    <n v="172.7"/>
    <n v="164.5"/>
    <n v="165.8"/>
    <n v="164.9"/>
    <n v="174.7"/>
    <n v="160.80000000000001"/>
    <n v="164.9"/>
    <n v="169.9"/>
    <n v="163.19999999999999"/>
    <n v="166.6"/>
    <n v="166.4"/>
    <n v="2153"/>
    <n v="515.20000000000005"/>
    <n v="329.4"/>
    <n v="165.8"/>
    <n v="1190.8"/>
    <n v="165.61538461538461"/>
    <n v="171.73333333333335"/>
    <n v="164.7"/>
    <n v="165.8"/>
    <n v="170.1142857142857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x v="236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2186.6999999999998"/>
    <n v="475.4"/>
    <n v="321.3"/>
    <n v="161.6"/>
    <n v="1156"/>
    <n v="168.2076923076923"/>
    <n v="158.46666666666667"/>
    <n v="160.65"/>
    <n v="161.6"/>
    <n v="165.14285714285714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x v="237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2164.1999999999998"/>
    <n v="499.1"/>
    <n v="325.60000000000002"/>
    <n v="164.2"/>
    <n v="1171.7"/>
    <n v="166.47692307692307"/>
    <n v="166.36666666666667"/>
    <n v="162.80000000000001"/>
    <n v="164.2"/>
    <n v="167.3857142857143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x v="238"/>
    <n v="191.5"/>
    <n v="174.1"/>
    <n v="171"/>
    <n v="173.7"/>
    <n v="165.5"/>
    <n v="167.4"/>
    <n v="165.7"/>
    <n v="175.3"/>
    <n v="161.19999999999999"/>
    <n v="165.5"/>
    <n v="170.3"/>
    <n v="164.5"/>
    <n v="167.3"/>
    <n v="166.7"/>
    <n v="2150.4"/>
    <n v="518.79999999999995"/>
    <n v="331.2"/>
    <n v="167.4"/>
    <n v="1195.5999999999999"/>
    <n v="165.41538461538462"/>
    <n v="172.93333333333331"/>
    <n v="165.6"/>
    <n v="167.4"/>
    <n v="170.79999999999998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x v="239"/>
    <n v="196.5"/>
    <n v="165.7"/>
    <n v="150.4"/>
    <n v="163.4"/>
    <n v="165.5"/>
    <n v="163"/>
    <n v="157.4"/>
    <n v="167.2"/>
    <n v="153.1"/>
    <n v="159.5"/>
    <n v="162"/>
    <n v="164.2"/>
    <n v="159.4"/>
    <n v="165.5"/>
    <n v="2183.5"/>
    <n v="479.5"/>
    <n v="322.89999999999998"/>
    <n v="163"/>
    <n v="1161.9000000000001"/>
    <n v="167.96153846153845"/>
    <n v="159.83333333333334"/>
    <n v="161.44999999999999"/>
    <n v="163"/>
    <n v="165.98571428571429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x v="218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2161.2000000000003"/>
    <n v="502.80000000000007"/>
    <n v="327.3"/>
    <n v="165.7"/>
    <n v="1177.3"/>
    <n v="166.24615384615387"/>
    <n v="167.60000000000002"/>
    <n v="163.65"/>
    <n v="165.7"/>
    <n v="168.18571428571428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x v="240"/>
    <n v="192.3"/>
    <n v="175.4"/>
    <n v="173.2"/>
    <n v="175.1"/>
    <n v="165.3"/>
    <n v="168.9"/>
    <n v="166.5"/>
    <n v="176"/>
    <n v="162"/>
    <n v="166.6"/>
    <n v="170.6"/>
    <n v="167.4"/>
    <n v="168.3"/>
    <n v="168.7"/>
    <n v="2179.1000000000004"/>
    <n v="523.70000000000005"/>
    <n v="331.8"/>
    <n v="168.9"/>
    <n v="1203.2"/>
    <n v="167.62307692307695"/>
    <n v="174.56666666666669"/>
    <n v="165.9"/>
    <n v="168.9"/>
    <n v="171.8857142857143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x v="227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2196.3000000000002"/>
    <n v="484.6"/>
    <n v="323.89999999999998"/>
    <n v="164.5"/>
    <n v="1170.8000000000002"/>
    <n v="168.94615384615386"/>
    <n v="161.53333333333333"/>
    <n v="161.94999999999999"/>
    <n v="164.5"/>
    <n v="167.2571428571429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x v="241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2184.2000000000003"/>
    <n v="507.79999999999995"/>
    <n v="328.1"/>
    <n v="167.2"/>
    <n v="1185.7"/>
    <n v="168.01538461538465"/>
    <n v="169.26666666666665"/>
    <n v="164.05"/>
    <n v="167.2"/>
    <n v="169.3857142857143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x v="242"/>
    <n v="192.8"/>
    <n v="177.5"/>
    <n v="175.1"/>
    <n v="177.1"/>
    <n v="167"/>
    <n v="173.3"/>
    <n v="167.7"/>
    <n v="177"/>
    <n v="166.2"/>
    <n v="167.2"/>
    <n v="170.9"/>
    <n v="169"/>
    <n v="170.2"/>
    <n v="170.8"/>
    <n v="2206.6"/>
    <n v="529.70000000000005"/>
    <n v="334.7"/>
    <n v="173.3"/>
    <n v="1213.3"/>
    <n v="169.73846153846154"/>
    <n v="176.56666666666669"/>
    <n v="167.35"/>
    <n v="173.3"/>
    <n v="173.32857142857142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x v="243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2230.4"/>
    <n v="489.2"/>
    <n v="326.8"/>
    <n v="170.5"/>
    <n v="1183.0999999999999"/>
    <n v="171.56923076923078"/>
    <n v="163.06666666666666"/>
    <n v="163.4"/>
    <n v="170.5"/>
    <n v="169.01428571428571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x v="244"/>
    <n v="193.9"/>
    <n v="173.9"/>
    <n v="166.5"/>
    <n v="172.8"/>
    <n v="167"/>
    <n v="172.2"/>
    <n v="164"/>
    <n v="174"/>
    <n v="162.6"/>
    <n v="164.4"/>
    <n v="166.9"/>
    <n v="168.8"/>
    <n v="166.8"/>
    <n v="170.1"/>
    <n v="2214.3000000000002"/>
    <n v="513.20000000000005"/>
    <n v="331"/>
    <n v="172.2"/>
    <n v="1197.4000000000001"/>
    <n v="170.33076923076925"/>
    <n v="171.06666666666669"/>
    <n v="165.5"/>
    <n v="172.2"/>
    <n v="171.05714285714288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x v="244"/>
    <n v="192.9"/>
    <n v="179.3"/>
    <n v="177.2"/>
    <n v="179"/>
    <n v="167.5"/>
    <n v="175.3"/>
    <n v="168.9"/>
    <n v="177.7"/>
    <n v="167.1"/>
    <n v="167.6"/>
    <n v="171.8"/>
    <n v="168.5"/>
    <n v="170.9"/>
    <n v="172.5"/>
    <n v="2226.8000000000002"/>
    <n v="535.5"/>
    <n v="336.4"/>
    <n v="175.3"/>
    <n v="1216.5"/>
    <n v="171.2923076923077"/>
    <n v="178.5"/>
    <n v="168.2"/>
    <n v="175.3"/>
    <n v="173.78571428571428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x v="24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2262.2000000000003"/>
    <n v="493.7"/>
    <n v="328.6"/>
    <n v="173.5"/>
    <n v="1187.3999999999999"/>
    <n v="174.01538461538465"/>
    <n v="164.56666666666666"/>
    <n v="164.3"/>
    <n v="173.5"/>
    <n v="169.62857142857141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x v="246"/>
    <n v="194.1"/>
    <n v="175.6"/>
    <n v="168.4"/>
    <n v="174.6"/>
    <n v="167.5"/>
    <n v="174.6"/>
    <n v="165.2"/>
    <n v="174.8"/>
    <n v="163"/>
    <n v="165.1"/>
    <n v="167.9"/>
    <n v="168.4"/>
    <n v="167.5"/>
    <n v="171.7"/>
    <n v="2238.9000000000005"/>
    <n v="518.6"/>
    <n v="332.7"/>
    <n v="174.6"/>
    <n v="1200.8"/>
    <n v="172.22307692307697"/>
    <n v="172.86666666666667"/>
    <n v="166.35"/>
    <n v="174.6"/>
    <n v="171.54285714285714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x v="247"/>
    <n v="192.9"/>
    <n v="180.7"/>
    <n v="178.7"/>
    <n v="180.4"/>
    <n v="166.8"/>
    <n v="176.7"/>
    <n v="170.3"/>
    <n v="178.2"/>
    <n v="165.5"/>
    <n v="168"/>
    <n v="172.6"/>
    <n v="169.5"/>
    <n v="171"/>
    <n v="173.6"/>
    <n v="2248.3000000000002"/>
    <n v="539.79999999999995"/>
    <n v="337.1"/>
    <n v="176.7"/>
    <n v="1217.7"/>
    <n v="172.94615384615386"/>
    <n v="179.93333333333331"/>
    <n v="168.55"/>
    <n v="176.7"/>
    <n v="173.95714285714286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x v="248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2287.5"/>
    <n v="498.4"/>
    <n v="328.9"/>
    <n v="174.9"/>
    <n v="1190"/>
    <n v="175.96153846153845"/>
    <n v="166.13333333333333"/>
    <n v="164.45"/>
    <n v="174.9"/>
    <n v="170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x v="249"/>
    <n v="194.3"/>
    <n v="177.1"/>
    <n v="169.9"/>
    <n v="176"/>
    <n v="166.8"/>
    <n v="176"/>
    <n v="166.4"/>
    <n v="175.4"/>
    <n v="161.1"/>
    <n v="165.8"/>
    <n v="169"/>
    <n v="169.4"/>
    <n v="167.5"/>
    <n v="172.6"/>
    <n v="2261.9"/>
    <n v="523"/>
    <n v="333.20000000000005"/>
    <n v="176"/>
    <n v="1202.5"/>
    <n v="173.99230769230769"/>
    <n v="174.33333333333334"/>
    <n v="166.60000000000002"/>
    <n v="176"/>
    <n v="171.78571428571428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x v="250"/>
    <n v="193.2"/>
    <n v="182"/>
    <n v="180.3"/>
    <n v="181.7"/>
    <n v="167.8"/>
    <n v="179.6"/>
    <n v="171.3"/>
    <n v="178.8"/>
    <n v="166.3"/>
    <n v="168.6"/>
    <n v="174.7"/>
    <n v="169.7"/>
    <n v="171.8"/>
    <n v="174.3"/>
    <n v="2252.5"/>
    <n v="544"/>
    <n v="339.1"/>
    <n v="179.6"/>
    <n v="1223.1000000000001"/>
    <n v="173.26923076923077"/>
    <n v="181.33333333333334"/>
    <n v="169.55"/>
    <n v="179.6"/>
    <n v="174.72857142857146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x v="251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2291.6"/>
    <n v="502"/>
    <n v="330.9"/>
    <n v="179.5"/>
    <n v="1195.9000000000001"/>
    <n v="176.27692307692308"/>
    <n v="167.33333333333334"/>
    <n v="165.45"/>
    <n v="179.5"/>
    <n v="170.84285714285716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x v="252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2266.3000000000002"/>
    <n v="526.90000000000009"/>
    <n v="335.20000000000005"/>
    <n v="179.6"/>
    <n v="1208.0999999999999"/>
    <n v="174.33076923076925"/>
    <n v="175.63333333333335"/>
    <n v="167.60000000000002"/>
    <n v="179.6"/>
    <n v="172.58571428571426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x v="253"/>
    <n v="193.7"/>
    <n v="183.2"/>
    <n v="181.7"/>
    <n v="183"/>
    <n v="169"/>
    <n v="179.1"/>
    <n v="172.3"/>
    <n v="179.4"/>
    <n v="166.6"/>
    <n v="169.3"/>
    <n v="175.7"/>
    <n v="171.1"/>
    <n v="172.6"/>
    <n v="175.3"/>
    <n v="2255.7999999999997"/>
    <n v="547.9"/>
    <n v="341.3"/>
    <n v="179.1"/>
    <n v="1228.4000000000001"/>
    <n v="173.5230769230769"/>
    <n v="182.63333333333333"/>
    <n v="170.65"/>
    <n v="179.1"/>
    <n v="175.48571428571429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x v="25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2293.6999999999998"/>
    <n v="505.29999999999995"/>
    <n v="333.2"/>
    <n v="178.4"/>
    <n v="1200.8"/>
    <n v="176.43846153846152"/>
    <n v="168.43333333333331"/>
    <n v="166.6"/>
    <n v="178.4"/>
    <n v="171.54285714285714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x v="255"/>
    <n v="195"/>
    <n v="179.5"/>
    <n v="172.7"/>
    <n v="178.5"/>
    <n v="169"/>
    <n v="178.8"/>
    <n v="168.5"/>
    <n v="176.8"/>
    <n v="161.9"/>
    <n v="166.9"/>
    <n v="172.3"/>
    <n v="171.2"/>
    <n v="169.1"/>
    <n v="174.3"/>
    <n v="2269.2000000000003"/>
    <n v="530.70000000000005"/>
    <n v="337.5"/>
    <n v="178.8"/>
    <n v="1213.2000000000003"/>
    <n v="174.55384615384617"/>
    <n v="176.9"/>
    <n v="168.75"/>
    <n v="178.8"/>
    <n v="173.31428571428575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x v="256"/>
    <n v="194.5"/>
    <n v="184.7"/>
    <n v="183.3"/>
    <n v="184.5"/>
    <n v="169.5"/>
    <n v="179.7"/>
    <n v="173.6"/>
    <n v="180.2"/>
    <n v="166.9"/>
    <n v="170"/>
    <n v="176.2"/>
    <n v="170.8"/>
    <n v="173.1"/>
    <n v="176.4"/>
    <n v="2267.8000000000002"/>
    <n v="552.5"/>
    <n v="343.1"/>
    <n v="179.7"/>
    <n v="1231.6999999999998"/>
    <n v="174.44615384615386"/>
    <n v="184.16666666666666"/>
    <n v="171.55"/>
    <n v="179.7"/>
    <n v="175.95714285714283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x v="257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2306.4"/>
    <n v="509.7"/>
    <n v="334.5"/>
    <n v="179.2"/>
    <n v="1205.6000000000001"/>
    <n v="177.41538461538462"/>
    <n v="169.9"/>
    <n v="167.25"/>
    <n v="179.2"/>
    <n v="172.22857142857146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x v="25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2280.9"/>
    <n v="535.1"/>
    <n v="339"/>
    <n v="179.5"/>
    <n v="1217.3000000000002"/>
    <n v="175.45384615384617"/>
    <n v="178.36666666666667"/>
    <n v="169.5"/>
    <n v="179.5"/>
    <n v="173.90000000000003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x v="259"/>
    <n v="194.9"/>
    <n v="186.1"/>
    <n v="184.4"/>
    <n v="185.9"/>
    <n v="171.2"/>
    <n v="180.8"/>
    <n v="174.4"/>
    <n v="181.2"/>
    <n v="167.4"/>
    <n v="170.6"/>
    <n v="176.5"/>
    <n v="172"/>
    <n v="173.9"/>
    <n v="177.9"/>
    <n v="2284.5"/>
    <n v="556.4"/>
    <n v="345.6"/>
    <n v="180.8"/>
    <n v="1236.5000000000002"/>
    <n v="175.73076923076923"/>
    <n v="185.46666666666667"/>
    <n v="172.8"/>
    <n v="180.8"/>
    <n v="176.64285714285717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x v="260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2322.3000000000002"/>
    <n v="511.70000000000005"/>
    <n v="337.2"/>
    <n v="180"/>
    <n v="1210.1999999999998"/>
    <n v="178.63846153846154"/>
    <n v="170.56666666666669"/>
    <n v="168.6"/>
    <n v="180"/>
    <n v="172.88571428571427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x v="261"/>
    <n v="196.3"/>
    <n v="181.9"/>
    <n v="175.3"/>
    <n v="181"/>
    <n v="171.2"/>
    <n v="180.5"/>
    <n v="170.4"/>
    <n v="178.7"/>
    <n v="162.9"/>
    <n v="168.2"/>
    <n v="173.4"/>
    <n v="172.1"/>
    <n v="170.5"/>
    <n v="176.7"/>
    <n v="2297.3000000000002"/>
    <n v="538.20000000000005"/>
    <n v="341.6"/>
    <n v="180.5"/>
    <n v="1222.1000000000001"/>
    <n v="176.71538461538464"/>
    <n v="179.4"/>
    <n v="170.8"/>
    <n v="180.5"/>
    <n v="174.58571428571432"/>
  </r>
  <r>
    <x v="0"/>
    <x v="9"/>
    <x v="11"/>
    <n v="166.9"/>
    <n v="207.2"/>
    <n v="180.2"/>
    <n v="172.3"/>
    <n v="194"/>
    <n v="159.1"/>
    <n v="171.6"/>
    <n v="170.2"/>
    <n v="121.5"/>
    <n v="204.8"/>
    <n v="176.4"/>
    <n v="186.9"/>
    <x v="262"/>
    <n v="195.5"/>
    <n v="187.2"/>
    <n v="185.2"/>
    <n v="186.9"/>
    <n v="171.8"/>
    <n v="181.9"/>
    <n v="175.5"/>
    <n v="182.3"/>
    <n v="167.5"/>
    <n v="170.8"/>
    <n v="176.9"/>
    <n v="173.4"/>
    <n v="174.6"/>
    <n v="177.8"/>
    <n v="2287.6999999999998"/>
    <n v="559.29999999999995"/>
    <n v="347.3"/>
    <n v="181.9"/>
    <n v="1241"/>
    <n v="175.97692307692307"/>
    <n v="186.43333333333331"/>
    <n v="173.65"/>
    <n v="181.9"/>
    <n v="177.28571428571428"/>
  </r>
  <r>
    <x v="1"/>
    <x v="9"/>
    <x v="11"/>
    <n v="168.4"/>
    <n v="213.4"/>
    <n v="183.2"/>
    <n v="172.3"/>
    <n v="180"/>
    <n v="162.6"/>
    <n v="205.5"/>
    <n v="171"/>
    <n v="123.4"/>
    <n v="198.8"/>
    <n v="162.1"/>
    <n v="192.4"/>
    <x v="26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2314.4"/>
    <n v="514.9"/>
    <n v="338.70000000000005"/>
    <n v="180.3"/>
    <n v="1214.7"/>
    <n v="178.03076923076924"/>
    <n v="171.63333333333333"/>
    <n v="169.35000000000002"/>
    <n v="180.3"/>
    <n v="173.52857142857144"/>
  </r>
  <r>
    <x v="2"/>
    <x v="9"/>
    <x v="11"/>
    <n v="167.4"/>
    <n v="209.4"/>
    <n v="181.4"/>
    <n v="172.3"/>
    <n v="188.9"/>
    <n v="160.69999999999999"/>
    <n v="183.1"/>
    <n v="170.5"/>
    <n v="122.1"/>
    <n v="202.8"/>
    <n v="170.4"/>
    <n v="189.5"/>
    <x v="264"/>
    <n v="196.9"/>
    <n v="183.1"/>
    <n v="176.2"/>
    <n v="182.1"/>
    <n v="171.8"/>
    <n v="181.3"/>
    <n v="171.4"/>
    <n v="179.8"/>
    <n v="163"/>
    <n v="168.5"/>
    <n v="173.7"/>
    <n v="173.6"/>
    <n v="171.1"/>
    <n v="176.5"/>
    <n v="2296.8000000000002"/>
    <n v="541.4"/>
    <n v="343.20000000000005"/>
    <n v="181.3"/>
    <n v="1226.6000000000001"/>
    <n v="176.67692307692309"/>
    <n v="180.46666666666667"/>
    <n v="171.60000000000002"/>
    <n v="181.3"/>
    <n v="175.22857142857146"/>
  </r>
  <r>
    <x v="0"/>
    <x v="9"/>
    <x v="12"/>
    <n v="168.8"/>
    <n v="206.9"/>
    <n v="189.1"/>
    <n v="173.4"/>
    <n v="193.9"/>
    <n v="156.69999999999999"/>
    <n v="150.19999999999999"/>
    <n v="170.5"/>
    <n v="121.2"/>
    <n v="207.5"/>
    <n v="176.8"/>
    <n v="187.7"/>
    <x v="265"/>
    <n v="195.9"/>
    <n v="188.1"/>
    <n v="185.9"/>
    <n v="187.8"/>
    <n v="170.7"/>
    <n v="182.8"/>
    <n v="176.4"/>
    <n v="183.5"/>
    <n v="167.8"/>
    <n v="171.2"/>
    <n v="177.3"/>
    <n v="175.7"/>
    <n v="175.5"/>
    <n v="177.1"/>
    <n v="2277.1"/>
    <n v="561.79999999999995"/>
    <n v="347.1"/>
    <n v="182.8"/>
    <n v="1246.9000000000001"/>
    <n v="175.16153846153844"/>
    <n v="187.26666666666665"/>
    <n v="173.55"/>
    <n v="182.8"/>
    <n v="178.12857142857143"/>
  </r>
  <r>
    <x v="1"/>
    <x v="9"/>
    <x v="12"/>
    <n v="170.2"/>
    <n v="212.9"/>
    <n v="191.9"/>
    <n v="173.9"/>
    <n v="179.1"/>
    <n v="159.5"/>
    <n v="178.7"/>
    <n v="171.3"/>
    <n v="123.1"/>
    <n v="200.5"/>
    <n v="162.80000000000001"/>
    <n v="193.3"/>
    <x v="266"/>
    <n v="201.1"/>
    <n v="177.7"/>
    <n v="164.5"/>
    <n v="175.7"/>
    <n v="170.7"/>
    <n v="180.6"/>
    <n v="167.3"/>
    <n v="177.2"/>
    <n v="159.4"/>
    <n v="167.1"/>
    <n v="171.8"/>
    <n v="176"/>
    <n v="168.2"/>
    <n v="174.1"/>
    <n v="2295.7999999999997"/>
    <n v="517.9"/>
    <n v="338"/>
    <n v="180.6"/>
    <n v="1220.8"/>
    <n v="176.59999999999997"/>
    <n v="172.63333333333333"/>
    <n v="169"/>
    <n v="180.6"/>
    <n v="174.4"/>
  </r>
  <r>
    <x v="2"/>
    <x v="9"/>
    <x v="12"/>
    <n v="169.2"/>
    <n v="209"/>
    <n v="190.2"/>
    <n v="173.6"/>
    <n v="188.5"/>
    <n v="158"/>
    <n v="159.9"/>
    <n v="170.8"/>
    <n v="121.8"/>
    <n v="205.2"/>
    <n v="171"/>
    <n v="190.3"/>
    <x v="267"/>
    <n v="197.3"/>
    <n v="184"/>
    <n v="177"/>
    <n v="183"/>
    <n v="170.7"/>
    <n v="182"/>
    <n v="172.1"/>
    <n v="181.1"/>
    <n v="163.4"/>
    <n v="168.9"/>
    <n v="174.1"/>
    <n v="175.8"/>
    <n v="172"/>
    <n v="175.7"/>
    <n v="2283.4"/>
    <n v="544"/>
    <n v="342.79999999999995"/>
    <n v="182"/>
    <n v="1232.5999999999999"/>
    <n v="175.64615384615385"/>
    <n v="181.33333333333334"/>
    <n v="171.39999999999998"/>
    <n v="182"/>
    <n v="176.08571428571426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x v="252"/>
    <n v="196.9"/>
    <n v="189"/>
    <n v="186.3"/>
    <n v="188.6"/>
    <n v="172.1"/>
    <n v="183.2"/>
    <n v="177.2"/>
    <n v="184.7"/>
    <n v="168.2"/>
    <n v="171.8"/>
    <n v="177.8"/>
    <n v="178.4"/>
    <n v="176.5"/>
    <n v="177.8"/>
    <n v="2283.2000000000003"/>
    <n v="563.9"/>
    <n v="349.29999999999995"/>
    <n v="183.2"/>
    <n v="1254.3000000000002"/>
    <n v="175.63076923076926"/>
    <n v="187.96666666666667"/>
    <n v="174.64999999999998"/>
    <n v="183.2"/>
    <n v="179.18571428571431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x v="268"/>
    <n v="201.6"/>
    <n v="178.7"/>
    <n v="165.3"/>
    <n v="176.6"/>
    <n v="172.1"/>
    <n v="180.1"/>
    <n v="168"/>
    <n v="178.5"/>
    <n v="159.5"/>
    <n v="167.8"/>
    <n v="171.8"/>
    <n v="178.8"/>
    <n v="168.9"/>
    <n v="174.9"/>
    <n v="2310.2000000000003"/>
    <n v="520.6"/>
    <n v="340.1"/>
    <n v="180.1"/>
    <n v="1226.9000000000001"/>
    <n v="177.70769230769233"/>
    <n v="173.53333333333333"/>
    <n v="170.05"/>
    <n v="180.1"/>
    <n v="175.27142857142857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x v="269"/>
    <n v="198.2"/>
    <n v="184.9"/>
    <n v="177.6"/>
    <n v="183.8"/>
    <n v="172.1"/>
    <n v="182"/>
    <n v="172.9"/>
    <n v="182.3"/>
    <n v="163.6"/>
    <n v="169.5"/>
    <n v="174.3"/>
    <n v="178.6"/>
    <n v="172.8"/>
    <n v="176.5"/>
    <n v="2292.6999999999998"/>
    <n v="546.29999999999995"/>
    <n v="345"/>
    <n v="182"/>
    <n v="1239.3000000000002"/>
    <n v="176.36153846153846"/>
    <n v="182.1"/>
    <n v="172.5"/>
    <n v="182"/>
    <n v="177.04285714285717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x v="270"/>
    <n v="198.3"/>
    <n v="190"/>
    <n v="187"/>
    <n v="189.6"/>
    <n v="173.5"/>
    <n v="181.6"/>
    <n v="178.6"/>
    <n v="186.6"/>
    <n v="169"/>
    <n v="172.8"/>
    <n v="178.5"/>
    <n v="180.7"/>
    <n v="177.9"/>
    <n v="178"/>
    <n v="2265.6999999999998"/>
    <n v="566.6"/>
    <n v="352.1"/>
    <n v="181.6"/>
    <n v="1263.8000000000002"/>
    <n v="174.28461538461536"/>
    <n v="188.86666666666667"/>
    <n v="176.05"/>
    <n v="181.6"/>
    <n v="180.54285714285717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x v="271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2303.1999999999998"/>
    <n v="525.5"/>
    <n v="342.7"/>
    <n v="182.8"/>
    <n v="1235.6000000000001"/>
    <n v="177.16923076923075"/>
    <n v="175.16666666666666"/>
    <n v="171.35"/>
    <n v="182.8"/>
    <n v="176.51428571428573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x v="272"/>
    <n v="199.5"/>
    <n v="186.2"/>
    <n v="178.7"/>
    <n v="185.1"/>
    <n v="173.5"/>
    <n v="182.1"/>
    <n v="174.2"/>
    <n v="184.4"/>
    <n v="164.2"/>
    <n v="170.3"/>
    <n v="175"/>
    <n v="181"/>
    <n v="174.1"/>
    <n v="177.2"/>
    <n v="2279.1"/>
    <n v="550"/>
    <n v="347.7"/>
    <n v="182.1"/>
    <n v="1248.5"/>
    <n v="175.3153846153846"/>
    <n v="183.33333333333334"/>
    <n v="173.85"/>
    <n v="182.1"/>
    <n v="178.35714285714286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x v="270"/>
    <n v="198.4"/>
    <n v="190"/>
    <n v="187"/>
    <n v="189.6"/>
    <n v="173.5"/>
    <n v="181.4"/>
    <n v="178.6"/>
    <n v="186.6"/>
    <n v="169"/>
    <n v="172.8"/>
    <n v="178.5"/>
    <n v="180.7"/>
    <n v="177.9"/>
    <n v="178"/>
    <n v="2265.8000000000002"/>
    <n v="566.6"/>
    <n v="352.1"/>
    <n v="181.4"/>
    <n v="1263.9000000000003"/>
    <n v="174.2923076923077"/>
    <n v="188.86666666666667"/>
    <n v="176.05"/>
    <n v="181.4"/>
    <n v="180.55714285714291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x v="273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2303.4"/>
    <n v="525.4"/>
    <n v="342.7"/>
    <n v="182.6"/>
    <n v="1235.7"/>
    <n v="177.1846153846154"/>
    <n v="175.13333333333333"/>
    <n v="171.35"/>
    <n v="182.6"/>
    <n v="176.52857142857144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x v="272"/>
    <n v="199.5"/>
    <n v="186.1"/>
    <n v="178.7"/>
    <n v="185.1"/>
    <n v="173.5"/>
    <n v="181.9"/>
    <n v="174.2"/>
    <n v="184.4"/>
    <n v="164.2"/>
    <n v="170.3"/>
    <n v="175"/>
    <n v="181"/>
    <n v="174.1"/>
    <n v="177.2"/>
    <n v="2279.1999999999998"/>
    <n v="549.9"/>
    <n v="347.7"/>
    <n v="181.9"/>
    <n v="1248.5"/>
    <n v="175.32307692307691"/>
    <n v="183.29999999999998"/>
    <n v="173.85"/>
    <n v="181.9"/>
    <n v="178.35714285714286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x v="256"/>
    <n v="199.5"/>
    <n v="190.7"/>
    <n v="187.3"/>
    <n v="190.2"/>
    <n v="175.2"/>
    <n v="181.5"/>
    <n v="179.1"/>
    <n v="187.2"/>
    <n v="169.4"/>
    <n v="173.2"/>
    <n v="179.4"/>
    <n v="183.8"/>
    <n v="178.9"/>
    <n v="178.8"/>
    <n v="2274.1999999999998"/>
    <n v="568.20000000000005"/>
    <n v="354.29999999999995"/>
    <n v="181.5"/>
    <n v="1271.4000000000001"/>
    <n v="174.93846153846152"/>
    <n v="189.4"/>
    <n v="177.14999999999998"/>
    <n v="181.5"/>
    <n v="181.62857142857143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x v="274"/>
    <n v="203.5"/>
    <n v="181"/>
    <n v="167.7"/>
    <n v="178.9"/>
    <n v="175.2"/>
    <n v="182.1"/>
    <n v="169.6"/>
    <n v="181.5"/>
    <n v="160.1"/>
    <n v="168.8"/>
    <n v="174.2"/>
    <n v="184.4"/>
    <n v="170.9"/>
    <n v="177.4"/>
    <n v="2317.7000000000003"/>
    <n v="527.6"/>
    <n v="344.79999999999995"/>
    <n v="182.1"/>
    <n v="1243.4000000000001"/>
    <n v="178.28461538461539"/>
    <n v="175.86666666666667"/>
    <n v="172.39999999999998"/>
    <n v="182.1"/>
    <n v="177.62857142857143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x v="275"/>
    <n v="200.6"/>
    <n v="186.9"/>
    <n v="179.2"/>
    <n v="185.7"/>
    <n v="175.2"/>
    <n v="181.7"/>
    <n v="174.6"/>
    <n v="185"/>
    <n v="164.5"/>
    <n v="170.7"/>
    <n v="176.4"/>
    <n v="184"/>
    <n v="175"/>
    <n v="178.1"/>
    <n v="2289.6000000000004"/>
    <n v="551.79999999999995"/>
    <n v="349.79999999999995"/>
    <n v="181.7"/>
    <n v="1256.1999999999998"/>
    <n v="176.12307692307695"/>
    <n v="183.93333333333331"/>
    <n v="174.89999999999998"/>
    <n v="181.7"/>
    <n v="179.45714285714283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x v="276"/>
    <n v="199.9"/>
    <n v="191.2"/>
    <n v="187.9"/>
    <n v="190.8"/>
    <n v="175.6"/>
    <n v="182.5"/>
    <n v="179.8"/>
    <n v="187.8"/>
    <n v="169.7"/>
    <n v="173.8"/>
    <n v="180.3"/>
    <n v="184.9"/>
    <n v="179.5"/>
    <n v="179.8"/>
    <n v="2290.7000000000007"/>
    <n v="569.90000000000009"/>
    <n v="355.4"/>
    <n v="182.5"/>
    <n v="1275.9000000000001"/>
    <n v="176.20769230769235"/>
    <n v="189.9666666666667"/>
    <n v="177.7"/>
    <n v="182.5"/>
    <n v="182.27142857142857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x v="277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2335.1"/>
    <n v="528.70000000000005"/>
    <n v="345.7"/>
    <n v="183.4"/>
    <n v="1248"/>
    <n v="179.62307692307692"/>
    <n v="176.23333333333335"/>
    <n v="172.85"/>
    <n v="183.4"/>
    <n v="178.28571428571428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x v="278"/>
    <n v="201"/>
    <n v="187.3"/>
    <n v="179.7"/>
    <n v="186.2"/>
    <n v="175.6"/>
    <n v="182.8"/>
    <n v="175.2"/>
    <n v="185.7"/>
    <n v="164.8"/>
    <n v="171.2"/>
    <n v="177.1"/>
    <n v="185.2"/>
    <n v="175.7"/>
    <n v="179.1"/>
    <n v="2306.9"/>
    <n v="553.20000000000005"/>
    <n v="350.79999999999995"/>
    <n v="182.8"/>
    <n v="1260.7"/>
    <n v="177.45384615384617"/>
    <n v="184.4"/>
    <n v="175.39999999999998"/>
    <n v="182.8"/>
    <n v="18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A6DD5-59B2-4ACE-8CEC-127A5ACF87E7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F7" firstHeaderRow="1" firstDataRow="3" firstDataCol="1"/>
  <pivotFields count="40">
    <pivotField showAll="0"/>
    <pivotField axis="axisCol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1"/>
        <item h="1" x="12"/>
        <item h="1" x="13"/>
        <item h="1" x="1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2">
    <i>
      <x v="4"/>
    </i>
    <i t="grand">
      <x/>
    </i>
  </rowItems>
  <colFields count="2">
    <field x="1"/>
    <field x="-2"/>
  </colFields>
  <colItems count="5">
    <i>
      <x v="10"/>
      <x/>
    </i>
    <i r="1" i="1">
      <x v="1"/>
    </i>
    <i r="1" i="2">
      <x v="2"/>
    </i>
    <i r="1" i="3">
      <x v="3"/>
    </i>
    <i r="1" i="4">
      <x v="4"/>
    </i>
  </colItems>
  <dataFields count="5">
    <dataField name="Sum of Food &amp; Beverages" fld="30" baseField="0" baseItem="0" numFmtId="164"/>
    <dataField name="Sum of Clothing2" fld="31" baseField="0" baseItem="0" numFmtId="164"/>
    <dataField name="Sum of Housing2" fld="32" baseField="0" baseItem="0" numFmtId="164"/>
    <dataField name="Sum of Energy &amp; Fuel" fld="33" baseField="0" baseItem="0" numFmtId="164"/>
    <dataField name="Sum of Misc" fld="3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314E0-D5B2-4180-876B-E800DCB4DE5F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:B11" firstHeaderRow="1" firstDataRow="2" firstDataCol="1"/>
  <pivotFields count="40">
    <pivotField axis="axisCol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1">
    <i>
      <x v="1"/>
    </i>
  </colItems>
  <dataFields count="1">
    <dataField name="Average of General index" fld="29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10E69-5021-4D51-8F4B-0F2570F44BEB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7:P47" firstHeaderRow="0" firstDataRow="1" firstDataCol="1"/>
  <pivotFields count="40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</pivotFields>
  <rowFields count="2">
    <field x="1"/>
    <field x="2"/>
  </rowFields>
  <rowItems count="20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 Food1" fld="35" subtotal="average" baseField="2" baseItem="1" numFmtId="164"/>
    <dataField name=" Cereals and products" fld="3" subtotal="average" baseField="1" baseItem="9" numFmtId="164"/>
    <dataField name=" Meat and fish" fld="4" subtotal="average" baseField="0" baseItem="0" numFmtId="164"/>
    <dataField name=" Egg" fld="5" subtotal="average" baseField="0" baseItem="0" numFmtId="164"/>
    <dataField name=" Milk and products" fld="6" subtotal="average" baseField="0" baseItem="0" numFmtId="164"/>
    <dataField name=" Oils and fats" fld="7" subtotal="average" baseField="0" baseItem="0" numFmtId="164"/>
    <dataField name=" Fruits" fld="8" subtotal="average" baseField="0" baseItem="0" numFmtId="164"/>
    <dataField name=" Vegetables" fld="9" subtotal="average" baseField="0" baseItem="0" numFmtId="164"/>
    <dataField name=" Pulses and products" fld="10" subtotal="average" baseField="0" baseItem="0" numFmtId="164"/>
    <dataField name=" Sugar and Confectionery" fld="11" subtotal="average" baseField="0" baseItem="0" numFmtId="164"/>
    <dataField name=" Spices" fld="12" subtotal="average" baseField="0" baseItem="0" numFmtId="164"/>
    <dataField name=" Non-alcoholic beverages" fld="13" subtotal="average" baseField="0" baseItem="0" numFmtId="164"/>
    <dataField name=" Prepared meals, snacks, sweets etc." fld="14" subtotal="average" baseField="0" baseItem="0" numFmtId="164"/>
    <dataField name=" Food and beverages" fld="15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A7530-B47B-417F-9225-2EC3B28DCCE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7:K96" firstHeaderRow="0" firstDataRow="1" firstDataCol="1"/>
  <pivotFields count="40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</pivotFields>
  <rowFields count="2">
    <field x="1"/>
    <field x="2"/>
  </rowFields>
  <rowItems count="39"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Food1" fld="35" subtotal="average" baseField="0" baseItem="0" numFmtId="164"/>
    <dataField name=" Housing1" fld="37" subtotal="average" baseField="0" baseItem="0" numFmtId="164"/>
    <dataField name=" Energy1" fld="38" subtotal="average" baseField="0" baseItem="0" numFmtId="164"/>
    <dataField name=" Health" fld="23" subtotal="average" baseField="0" baseItem="0" numFmtId="164"/>
    <dataField name=" Transport and communication" fld="24" subtotal="average" baseField="0" baseItem="0" numFmtId="164"/>
    <dataField name=" Recreation and amusement" fld="25" subtotal="average" baseField="0" baseItem="0" numFmtId="164"/>
    <dataField name=" Education" fld="26" subtotal="average" baseField="0" baseItem="0" numFmtId="164"/>
    <dataField name=" Personal care and effects" fld="27" subtotal="average" baseField="0" baseItem="0" numFmtId="164"/>
    <dataField name=" Clothing1" fld="3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B0FA4C6-FB52-4867-AE5B-A80EBB0073CB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D91F47F-E44E-4D87-9F75-77EF5E9D35E6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F7C1-3C02-4867-86F8-12E78E546EEC}">
  <dimension ref="A3:G25"/>
  <sheetViews>
    <sheetView showGridLines="0"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8.77734375" bestFit="1" customWidth="1"/>
    <col min="4" max="4" width="18.5546875" bestFit="1" customWidth="1"/>
    <col min="5" max="5" width="17.5546875" bestFit="1" customWidth="1"/>
    <col min="6" max="6" width="15.5546875" bestFit="1" customWidth="1"/>
    <col min="7" max="11" width="12.33203125" bestFit="1" customWidth="1"/>
    <col min="12" max="12" width="22.88671875" bestFit="1" customWidth="1"/>
    <col min="13" max="13" width="15.5546875" bestFit="1" customWidth="1"/>
    <col min="14" max="14" width="15.33203125" bestFit="1" customWidth="1"/>
    <col min="15" max="15" width="19.21875" bestFit="1" customWidth="1"/>
    <col min="16" max="16" width="11.33203125" bestFit="1" customWidth="1"/>
    <col min="17" max="17" width="22.88671875" bestFit="1" customWidth="1"/>
    <col min="18" max="18" width="15.5546875" bestFit="1" customWidth="1"/>
    <col min="19" max="19" width="15.33203125" bestFit="1" customWidth="1"/>
    <col min="20" max="20" width="19.21875" bestFit="1" customWidth="1"/>
    <col min="21" max="21" width="11.33203125" bestFit="1" customWidth="1"/>
    <col min="22" max="22" width="22.88671875" bestFit="1" customWidth="1"/>
    <col min="23" max="23" width="15.5546875" bestFit="1" customWidth="1"/>
    <col min="24" max="24" width="15.33203125" bestFit="1" customWidth="1"/>
    <col min="25" max="25" width="19.21875" bestFit="1" customWidth="1"/>
    <col min="26" max="26" width="11.33203125" bestFit="1" customWidth="1"/>
    <col min="27" max="27" width="22.88671875" bestFit="1" customWidth="1"/>
    <col min="28" max="28" width="15.5546875" bestFit="1" customWidth="1"/>
    <col min="29" max="29" width="15.33203125" bestFit="1" customWidth="1"/>
    <col min="30" max="30" width="19.21875" bestFit="1" customWidth="1"/>
    <col min="31" max="31" width="11.33203125" bestFit="1" customWidth="1"/>
    <col min="32" max="32" width="22.88671875" bestFit="1" customWidth="1"/>
    <col min="33" max="33" width="15.5546875" bestFit="1" customWidth="1"/>
    <col min="34" max="34" width="15.33203125" bestFit="1" customWidth="1"/>
    <col min="35" max="35" width="19.21875" bestFit="1" customWidth="1"/>
    <col min="36" max="36" width="11.33203125" bestFit="1" customWidth="1"/>
    <col min="37" max="37" width="22.88671875" bestFit="1" customWidth="1"/>
    <col min="38" max="38" width="15.5546875" bestFit="1" customWidth="1"/>
    <col min="39" max="39" width="15.33203125" bestFit="1" customWidth="1"/>
    <col min="40" max="40" width="19.21875" bestFit="1" customWidth="1"/>
    <col min="41" max="41" width="11.33203125" bestFit="1" customWidth="1"/>
    <col min="42" max="42" width="22.88671875" bestFit="1" customWidth="1"/>
    <col min="43" max="43" width="15.5546875" bestFit="1" customWidth="1"/>
    <col min="44" max="44" width="15.33203125" bestFit="1" customWidth="1"/>
    <col min="45" max="45" width="19.21875" bestFit="1" customWidth="1"/>
    <col min="46" max="46" width="11.33203125" bestFit="1" customWidth="1"/>
    <col min="47" max="47" width="22.88671875" bestFit="1" customWidth="1"/>
    <col min="48" max="48" width="15.5546875" bestFit="1" customWidth="1"/>
    <col min="49" max="49" width="15.33203125" bestFit="1" customWidth="1"/>
    <col min="50" max="50" width="19.21875" bestFit="1" customWidth="1"/>
    <col min="51" max="51" width="11.33203125" bestFit="1" customWidth="1"/>
    <col min="52" max="52" width="22.88671875" bestFit="1" customWidth="1"/>
    <col min="53" max="53" width="15.5546875" bestFit="1" customWidth="1"/>
    <col min="54" max="54" width="15.33203125" bestFit="1" customWidth="1"/>
    <col min="55" max="55" width="19.21875" bestFit="1" customWidth="1"/>
    <col min="56" max="56" width="11.33203125" bestFit="1" customWidth="1"/>
    <col min="57" max="57" width="27.6640625" bestFit="1" customWidth="1"/>
    <col min="58" max="58" width="20.33203125" bestFit="1" customWidth="1"/>
    <col min="59" max="59" width="20.109375" bestFit="1" customWidth="1"/>
    <col min="60" max="60" width="24" bestFit="1" customWidth="1"/>
    <col min="61" max="61" width="16.109375" bestFit="1" customWidth="1"/>
  </cols>
  <sheetData>
    <row r="3" spans="1:7" x14ac:dyDescent="0.3">
      <c r="B3" s="5" t="s">
        <v>55</v>
      </c>
    </row>
    <row r="4" spans="1:7" x14ac:dyDescent="0.3">
      <c r="B4">
        <v>2023</v>
      </c>
    </row>
    <row r="5" spans="1:7" x14ac:dyDescent="0.3">
      <c r="A5" s="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</row>
    <row r="6" spans="1:7" x14ac:dyDescent="0.3">
      <c r="A6" s="6" t="s">
        <v>37</v>
      </c>
      <c r="B6" s="2">
        <v>6932.7000000000007</v>
      </c>
      <c r="C6" s="2">
        <v>1651.8000000000002</v>
      </c>
      <c r="D6" s="2">
        <v>1051.9000000000001</v>
      </c>
      <c r="E6" s="2">
        <v>548.70000000000005</v>
      </c>
      <c r="F6" s="2">
        <v>3784.6</v>
      </c>
      <c r="G6" s="2">
        <f>SUM(B6:F6)</f>
        <v>13969.7</v>
      </c>
    </row>
    <row r="7" spans="1:7" x14ac:dyDescent="0.3">
      <c r="A7" s="6" t="s">
        <v>56</v>
      </c>
      <c r="B7" s="2">
        <v>6932.7000000000007</v>
      </c>
      <c r="C7" s="2">
        <v>1651.8000000000002</v>
      </c>
      <c r="D7" s="2">
        <v>1051.9000000000001</v>
      </c>
      <c r="E7" s="2">
        <v>548.70000000000005</v>
      </c>
      <c r="F7" s="2">
        <v>3784.6</v>
      </c>
    </row>
    <row r="9" spans="1:7" x14ac:dyDescent="0.3">
      <c r="B9" t="s">
        <v>47</v>
      </c>
      <c r="C9" t="s">
        <v>17</v>
      </c>
      <c r="D9" t="s">
        <v>20</v>
      </c>
      <c r="E9" t="s">
        <v>48</v>
      </c>
      <c r="F9" t="s">
        <v>49</v>
      </c>
    </row>
    <row r="10" spans="1:7" x14ac:dyDescent="0.3">
      <c r="B10" s="7">
        <f>B7/$G$6</f>
        <v>0.49626692054947497</v>
      </c>
      <c r="C10" s="7">
        <f>C7/$G$6</f>
        <v>0.11824162294107964</v>
      </c>
      <c r="D10" s="7">
        <f>D7/$G$6</f>
        <v>7.5298682147791299E-2</v>
      </c>
      <c r="E10" s="7">
        <f>E7/$G$6</f>
        <v>3.9277865666406578E-2</v>
      </c>
      <c r="F10" s="7">
        <f>F7/$G$6</f>
        <v>0.27091490869524754</v>
      </c>
    </row>
    <row r="22" spans="2:7" x14ac:dyDescent="0.3">
      <c r="G22" s="2"/>
    </row>
    <row r="25" spans="2:7" x14ac:dyDescent="0.3">
      <c r="B25" s="32"/>
      <c r="C25" s="32"/>
      <c r="D25" s="32"/>
      <c r="E25" s="32"/>
      <c r="F25" s="3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2B0-DE61-49F9-8FFA-640E19C7EFE8}">
  <dimension ref="A1:N21"/>
  <sheetViews>
    <sheetView showGridLines="0" tabSelected="1" workbookViewId="0">
      <selection activeCell="M15" sqref="M15"/>
    </sheetView>
  </sheetViews>
  <sheetFormatPr defaultRowHeight="14.4" x14ac:dyDescent="0.3"/>
  <cols>
    <col min="1" max="1" width="18.44140625" customWidth="1"/>
    <col min="2" max="2" width="15.5546875" bestFit="1" customWidth="1"/>
    <col min="3" max="3" width="10.77734375" bestFit="1" customWidth="1"/>
    <col min="4" max="4" width="1.6640625" customWidth="1"/>
    <col min="5" max="5" width="10.77734375" bestFit="1" customWidth="1"/>
    <col min="6" max="7" width="11.5546875" bestFit="1" customWidth="1"/>
    <col min="8" max="8" width="9.6640625" bestFit="1" customWidth="1"/>
    <col min="9" max="10" width="11.5546875" bestFit="1" customWidth="1"/>
    <col min="11" max="11" width="2" customWidth="1"/>
    <col min="12" max="12" width="24" customWidth="1"/>
    <col min="13" max="13" width="38.6640625" bestFit="1" customWidth="1"/>
    <col min="14" max="14" width="40.5546875" customWidth="1"/>
    <col min="15" max="15" width="9.6640625" bestFit="1" customWidth="1"/>
    <col min="16" max="18" width="11.5546875" bestFit="1" customWidth="1"/>
    <col min="19" max="19" width="9.6640625" bestFit="1" customWidth="1"/>
    <col min="20" max="22" width="11.5546875" bestFit="1" customWidth="1"/>
    <col min="23" max="23" width="9.6640625" bestFit="1" customWidth="1"/>
    <col min="24" max="26" width="11.5546875" bestFit="1" customWidth="1"/>
    <col min="27" max="27" width="9.6640625" bestFit="1" customWidth="1"/>
    <col min="28" max="30" width="11.5546875" bestFit="1" customWidth="1"/>
    <col min="31" max="31" width="9.6640625" bestFit="1" customWidth="1"/>
    <col min="32" max="34" width="11.5546875" bestFit="1" customWidth="1"/>
    <col min="35" max="35" width="9.6640625" bestFit="1" customWidth="1"/>
    <col min="36" max="38" width="11.5546875" bestFit="1" customWidth="1"/>
    <col min="39" max="39" width="9.6640625" bestFit="1" customWidth="1"/>
    <col min="40" max="42" width="11.5546875" bestFit="1" customWidth="1"/>
    <col min="43" max="43" width="9.6640625" bestFit="1" customWidth="1"/>
    <col min="44" max="45" width="10.77734375" bestFit="1" customWidth="1"/>
  </cols>
  <sheetData>
    <row r="1" spans="1:14" x14ac:dyDescent="0.3">
      <c r="A1" s="5" t="s">
        <v>63</v>
      </c>
      <c r="B1" s="5" t="s">
        <v>55</v>
      </c>
    </row>
    <row r="2" spans="1:14" x14ac:dyDescent="0.3">
      <c r="A2" s="5" t="s">
        <v>57</v>
      </c>
      <c r="B2" t="s">
        <v>33</v>
      </c>
    </row>
    <row r="3" spans="1:14" x14ac:dyDescent="0.3">
      <c r="A3" s="6">
        <v>2016</v>
      </c>
      <c r="B3" s="2">
        <v>129.19999999999999</v>
      </c>
    </row>
    <row r="4" spans="1:14" ht="19.8" x14ac:dyDescent="0.4">
      <c r="A4" s="6">
        <v>2017</v>
      </c>
      <c r="B4" s="2">
        <v>133.49999999999997</v>
      </c>
      <c r="C4" s="9">
        <f t="shared" ref="C4:C10" si="0">(B4/B3)-1</f>
        <v>3.3281733746129971E-2</v>
      </c>
      <c r="L4" s="36" t="s">
        <v>109</v>
      </c>
    </row>
    <row r="5" spans="1:14" x14ac:dyDescent="0.3">
      <c r="A5" s="6">
        <v>2018</v>
      </c>
      <c r="B5" s="2">
        <v>138.77500000000001</v>
      </c>
      <c r="C5" s="9">
        <f t="shared" si="0"/>
        <v>3.9513108614232406E-2</v>
      </c>
      <c r="L5" s="68" t="s">
        <v>110</v>
      </c>
      <c r="M5" s="68" t="s">
        <v>111</v>
      </c>
      <c r="N5" s="68" t="s">
        <v>112</v>
      </c>
    </row>
    <row r="6" spans="1:14" x14ac:dyDescent="0.3">
      <c r="A6" s="6">
        <v>2019</v>
      </c>
      <c r="B6" s="2">
        <v>144.18181818181822</v>
      </c>
      <c r="C6" s="9">
        <f t="shared" si="0"/>
        <v>3.8961038961039085E-2</v>
      </c>
      <c r="L6" s="67" t="s">
        <v>113</v>
      </c>
      <c r="M6" s="65" t="s">
        <v>114</v>
      </c>
      <c r="N6" s="65" t="s">
        <v>115</v>
      </c>
    </row>
    <row r="7" spans="1:14" x14ac:dyDescent="0.3">
      <c r="A7" s="6">
        <v>2020</v>
      </c>
      <c r="B7" s="2">
        <v>152.67499999999998</v>
      </c>
      <c r="C7" s="9">
        <f t="shared" si="0"/>
        <v>5.8906052963429545E-2</v>
      </c>
      <c r="L7" s="67" t="s">
        <v>116</v>
      </c>
      <c r="M7" s="65" t="s">
        <v>117</v>
      </c>
      <c r="N7" s="65" t="s">
        <v>118</v>
      </c>
    </row>
    <row r="8" spans="1:14" x14ac:dyDescent="0.3">
      <c r="A8" s="6">
        <v>2021</v>
      </c>
      <c r="B8" s="2">
        <v>161.45833333333331</v>
      </c>
      <c r="C8" s="9">
        <f t="shared" si="0"/>
        <v>5.7529610829103239E-2</v>
      </c>
      <c r="L8" s="67" t="s">
        <v>119</v>
      </c>
      <c r="M8" s="65" t="s">
        <v>120</v>
      </c>
      <c r="N8" s="65" t="s">
        <v>121</v>
      </c>
    </row>
    <row r="9" spans="1:14" x14ac:dyDescent="0.3">
      <c r="A9" s="6">
        <v>2022</v>
      </c>
      <c r="B9" s="2">
        <v>172.14999999999998</v>
      </c>
      <c r="C9" s="9">
        <f t="shared" si="0"/>
        <v>6.6219354838709554E-2</v>
      </c>
      <c r="L9" s="67" t="s">
        <v>122</v>
      </c>
      <c r="M9" s="65" t="s">
        <v>123</v>
      </c>
      <c r="N9" s="65" t="s">
        <v>124</v>
      </c>
    </row>
    <row r="10" spans="1:14" x14ac:dyDescent="0.3">
      <c r="A10" s="6">
        <v>2023</v>
      </c>
      <c r="B10" s="2">
        <v>177.61999999999998</v>
      </c>
      <c r="C10" s="9">
        <f t="shared" si="0"/>
        <v>3.1774615161196618E-2</v>
      </c>
      <c r="L10" s="66" t="s">
        <v>125</v>
      </c>
      <c r="M10" s="66"/>
      <c r="N10" s="66"/>
    </row>
    <row r="11" spans="1:14" x14ac:dyDescent="0.3">
      <c r="A11" s="6" t="s">
        <v>56</v>
      </c>
      <c r="B11" s="2">
        <v>149.17272727272731</v>
      </c>
    </row>
    <row r="13" spans="1:14" ht="15" thickBot="1" x14ac:dyDescent="0.35"/>
    <row r="14" spans="1:14" ht="15" thickBot="1" x14ac:dyDescent="0.35">
      <c r="A14" s="10" t="s">
        <v>1</v>
      </c>
      <c r="B14" s="10" t="s">
        <v>64</v>
      </c>
    </row>
    <row r="15" spans="1:14" x14ac:dyDescent="0.3">
      <c r="A15" s="11">
        <v>2017</v>
      </c>
      <c r="B15" s="13">
        <v>3.3281733746129971E-2</v>
      </c>
    </row>
    <row r="16" spans="1:14" x14ac:dyDescent="0.3">
      <c r="A16" s="11">
        <v>2018</v>
      </c>
      <c r="B16" s="13">
        <v>3.9513108614232406E-2</v>
      </c>
    </row>
    <row r="17" spans="1:2" x14ac:dyDescent="0.3">
      <c r="A17" s="11">
        <v>2019</v>
      </c>
      <c r="B17" s="13">
        <v>3.8961038961039085E-2</v>
      </c>
    </row>
    <row r="18" spans="1:2" x14ac:dyDescent="0.3">
      <c r="A18" s="11">
        <v>2020</v>
      </c>
      <c r="B18" s="13">
        <v>5.8906052963429545E-2</v>
      </c>
    </row>
    <row r="19" spans="1:2" x14ac:dyDescent="0.3">
      <c r="A19" s="11">
        <v>2021</v>
      </c>
      <c r="B19" s="13">
        <v>5.7529610829103239E-2</v>
      </c>
    </row>
    <row r="20" spans="1:2" x14ac:dyDescent="0.3">
      <c r="A20" s="11">
        <v>2022</v>
      </c>
      <c r="B20" s="13">
        <v>6.6219354838709554E-2</v>
      </c>
    </row>
    <row r="21" spans="1:2" ht="15" thickBot="1" x14ac:dyDescent="0.35">
      <c r="A21" s="12">
        <v>2023</v>
      </c>
      <c r="B21" s="14">
        <v>3.1774615161196618E-2</v>
      </c>
    </row>
  </sheetData>
  <mergeCells count="1">
    <mergeCell ref="L10:N10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D7B6-EA20-4682-99D7-76958888D80F}">
  <dimension ref="A1:Q47"/>
  <sheetViews>
    <sheetView showGridLines="0" workbookViewId="0">
      <selection activeCell="D14" sqref="D14"/>
    </sheetView>
  </sheetViews>
  <sheetFormatPr defaultRowHeight="14.4" x14ac:dyDescent="0.3"/>
  <cols>
    <col min="2" max="2" width="13.77734375" bestFit="1" customWidth="1"/>
    <col min="3" max="3" width="7.77734375" bestFit="1" customWidth="1"/>
    <col min="4" max="4" width="19.33203125" bestFit="1" customWidth="1"/>
    <col min="5" max="5" width="13.21875" bestFit="1" customWidth="1"/>
    <col min="6" max="6" width="6.6640625" bestFit="1" customWidth="1"/>
    <col min="7" max="7" width="11.5546875" customWidth="1"/>
    <col min="8" max="8" width="11.77734375" bestFit="1" customWidth="1"/>
    <col min="9" max="9" width="6.6640625" bestFit="1" customWidth="1"/>
    <col min="10" max="10" width="10.77734375" bestFit="1" customWidth="1"/>
    <col min="11" max="11" width="11.6640625" customWidth="1"/>
    <col min="12" max="12" width="13.5546875" customWidth="1"/>
    <col min="13" max="13" width="6.77734375" bestFit="1" customWidth="1"/>
    <col min="14" max="14" width="10.6640625" customWidth="1"/>
    <col min="15" max="15" width="12" customWidth="1"/>
    <col min="16" max="16" width="16.88671875" customWidth="1"/>
    <col min="17" max="17" width="6.44140625" bestFit="1" customWidth="1"/>
    <col min="18" max="21" width="5.5546875" bestFit="1" customWidth="1"/>
    <col min="22" max="22" width="6.88671875" bestFit="1" customWidth="1"/>
    <col min="23" max="23" width="10.21875" bestFit="1" customWidth="1"/>
    <col min="24" max="24" width="7.77734375" bestFit="1" customWidth="1"/>
    <col min="25" max="25" width="9.88671875" bestFit="1" customWidth="1"/>
    <col min="26" max="26" width="9.5546875" bestFit="1" customWidth="1"/>
    <col min="27" max="27" width="19.21875" bestFit="1" customWidth="1"/>
    <col min="28" max="28" width="8.44140625" bestFit="1" customWidth="1"/>
    <col min="29" max="31" width="6.5546875" bestFit="1" customWidth="1"/>
    <col min="32" max="33" width="5.5546875" bestFit="1" customWidth="1"/>
    <col min="34" max="34" width="6.88671875" bestFit="1" customWidth="1"/>
    <col min="35" max="35" width="10.21875" bestFit="1" customWidth="1"/>
    <col min="36" max="36" width="7.77734375" bestFit="1" customWidth="1"/>
    <col min="37" max="37" width="9.88671875" bestFit="1" customWidth="1"/>
    <col min="38" max="38" width="9.5546875" bestFit="1" customWidth="1"/>
    <col min="39" max="39" width="10.44140625" bestFit="1" customWidth="1"/>
    <col min="40" max="40" width="8.44140625" bestFit="1" customWidth="1"/>
    <col min="41" max="43" width="6.5546875" bestFit="1" customWidth="1"/>
    <col min="44" max="45" width="5.5546875" bestFit="1" customWidth="1"/>
    <col min="46" max="46" width="6.88671875" bestFit="1" customWidth="1"/>
    <col min="47" max="47" width="10.21875" bestFit="1" customWidth="1"/>
    <col min="48" max="48" width="7.77734375" bestFit="1" customWidth="1"/>
    <col min="49" max="49" width="9.88671875" bestFit="1" customWidth="1"/>
    <col min="50" max="50" width="9.5546875" bestFit="1" customWidth="1"/>
    <col min="51" max="51" width="23" bestFit="1" customWidth="1"/>
    <col min="52" max="52" width="8.44140625" bestFit="1" customWidth="1"/>
    <col min="53" max="55" width="6.5546875" bestFit="1" customWidth="1"/>
    <col min="56" max="57" width="5.5546875" bestFit="1" customWidth="1"/>
    <col min="58" max="58" width="6.88671875" bestFit="1" customWidth="1"/>
    <col min="59" max="59" width="10.21875" bestFit="1" customWidth="1"/>
    <col min="60" max="60" width="7.77734375" bestFit="1" customWidth="1"/>
    <col min="61" max="61" width="9.88671875" bestFit="1" customWidth="1"/>
    <col min="62" max="62" width="9.5546875" bestFit="1" customWidth="1"/>
    <col min="63" max="63" width="17.88671875" bestFit="1" customWidth="1"/>
    <col min="64" max="64" width="8.44140625" bestFit="1" customWidth="1"/>
    <col min="65" max="67" width="6.5546875" bestFit="1" customWidth="1"/>
    <col min="68" max="69" width="5.5546875" bestFit="1" customWidth="1"/>
    <col min="70" max="70" width="6.88671875" bestFit="1" customWidth="1"/>
    <col min="71" max="71" width="10.21875" bestFit="1" customWidth="1"/>
    <col min="72" max="72" width="7.77734375" bestFit="1" customWidth="1"/>
    <col min="73" max="73" width="9.88671875" bestFit="1" customWidth="1"/>
    <col min="74" max="74" width="9.5546875" bestFit="1" customWidth="1"/>
    <col min="75" max="75" width="12" bestFit="1" customWidth="1"/>
    <col min="76" max="76" width="8.44140625" bestFit="1" customWidth="1"/>
    <col min="77" max="77" width="6.44140625" bestFit="1" customWidth="1"/>
    <col min="78" max="79" width="6.5546875" bestFit="1" customWidth="1"/>
    <col min="80" max="81" width="5.5546875" bestFit="1" customWidth="1"/>
    <col min="82" max="82" width="6.88671875" bestFit="1" customWidth="1"/>
    <col min="83" max="83" width="10.21875" bestFit="1" customWidth="1"/>
    <col min="84" max="84" width="7.77734375" bestFit="1" customWidth="1"/>
    <col min="85" max="85" width="9.88671875" bestFit="1" customWidth="1"/>
    <col min="86" max="86" width="9.5546875" bestFit="1" customWidth="1"/>
    <col min="87" max="87" width="16.77734375" bestFit="1" customWidth="1"/>
    <col min="88" max="88" width="8.44140625" bestFit="1" customWidth="1"/>
    <col min="89" max="89" width="6.44140625" bestFit="1" customWidth="1"/>
    <col min="90" max="90" width="5.5546875" bestFit="1" customWidth="1"/>
    <col min="91" max="91" width="6.5546875" bestFit="1" customWidth="1"/>
    <col min="92" max="93" width="5.5546875" bestFit="1" customWidth="1"/>
    <col min="94" max="94" width="6.88671875" bestFit="1" customWidth="1"/>
    <col min="95" max="95" width="10.21875" bestFit="1" customWidth="1"/>
    <col min="96" max="96" width="7.77734375" bestFit="1" customWidth="1"/>
    <col min="97" max="97" width="9.88671875" bestFit="1" customWidth="1"/>
    <col min="98" max="98" width="9.5546875" bestFit="1" customWidth="1"/>
    <col min="99" max="99" width="24.5546875" bestFit="1" customWidth="1"/>
    <col min="100" max="100" width="8.44140625" bestFit="1" customWidth="1"/>
    <col min="101" max="103" width="6.5546875" bestFit="1" customWidth="1"/>
    <col min="104" max="105" width="5.5546875" bestFit="1" customWidth="1"/>
    <col min="106" max="106" width="6.88671875" bestFit="1" customWidth="1"/>
    <col min="107" max="107" width="10.21875" bestFit="1" customWidth="1"/>
    <col min="108" max="108" width="7.77734375" bestFit="1" customWidth="1"/>
    <col min="109" max="109" width="9.88671875" bestFit="1" customWidth="1"/>
    <col min="110" max="110" width="9.5546875" bestFit="1" customWidth="1"/>
    <col min="111" max="111" width="28.6640625" bestFit="1" customWidth="1"/>
    <col min="112" max="112" width="8.44140625" bestFit="1" customWidth="1"/>
    <col min="113" max="113" width="6.44140625" bestFit="1" customWidth="1"/>
    <col min="114" max="117" width="5.5546875" bestFit="1" customWidth="1"/>
    <col min="118" max="118" width="6.88671875" bestFit="1" customWidth="1"/>
    <col min="119" max="119" width="10.21875" bestFit="1" customWidth="1"/>
    <col min="120" max="120" width="7.77734375" bestFit="1" customWidth="1"/>
    <col min="121" max="121" width="9.88671875" bestFit="1" customWidth="1"/>
    <col min="122" max="122" width="9.5546875" bestFit="1" customWidth="1"/>
    <col min="123" max="123" width="12.6640625" bestFit="1" customWidth="1"/>
    <col min="124" max="124" width="8.44140625" bestFit="1" customWidth="1"/>
    <col min="125" max="127" width="6.5546875" bestFit="1" customWidth="1"/>
    <col min="128" max="129" width="5.5546875" bestFit="1" customWidth="1"/>
    <col min="130" max="130" width="6.88671875" bestFit="1" customWidth="1"/>
    <col min="131" max="131" width="10.21875" bestFit="1" customWidth="1"/>
    <col min="132" max="132" width="7.77734375" bestFit="1" customWidth="1"/>
    <col min="133" max="133" width="9.88671875" bestFit="1" customWidth="1"/>
    <col min="134" max="134" width="9.5546875" bestFit="1" customWidth="1"/>
    <col min="135" max="135" width="28.5546875" bestFit="1" customWidth="1"/>
    <col min="136" max="136" width="8.44140625" bestFit="1" customWidth="1"/>
    <col min="137" max="139" width="6.5546875" bestFit="1" customWidth="1"/>
    <col min="140" max="141" width="5.5546875" bestFit="1" customWidth="1"/>
    <col min="142" max="142" width="6.88671875" bestFit="1" customWidth="1"/>
    <col min="143" max="143" width="10.21875" bestFit="1" customWidth="1"/>
    <col min="144" max="144" width="7.77734375" bestFit="1" customWidth="1"/>
    <col min="145" max="145" width="9.88671875" bestFit="1" customWidth="1"/>
    <col min="146" max="146" width="9.5546875" bestFit="1" customWidth="1"/>
    <col min="147" max="147" width="38" bestFit="1" customWidth="1"/>
    <col min="148" max="148" width="8.44140625" bestFit="1" customWidth="1"/>
    <col min="149" max="151" width="6.5546875" bestFit="1" customWidth="1"/>
    <col min="152" max="153" width="5.5546875" bestFit="1" customWidth="1"/>
    <col min="154" max="154" width="6.88671875" bestFit="1" customWidth="1"/>
    <col min="155" max="155" width="10.21875" bestFit="1" customWidth="1"/>
    <col min="156" max="156" width="7.77734375" bestFit="1" customWidth="1"/>
    <col min="157" max="157" width="9.88671875" bestFit="1" customWidth="1"/>
    <col min="158" max="158" width="9.5546875" bestFit="1" customWidth="1"/>
    <col min="159" max="159" width="24.6640625" bestFit="1" customWidth="1"/>
    <col min="160" max="160" width="8.44140625" bestFit="1" customWidth="1"/>
    <col min="161" max="163" width="6.5546875" bestFit="1" customWidth="1"/>
    <col min="164" max="165" width="5.5546875" bestFit="1" customWidth="1"/>
    <col min="166" max="166" width="6.88671875" bestFit="1" customWidth="1"/>
    <col min="167" max="167" width="10.21875" bestFit="1" customWidth="1"/>
    <col min="168" max="168" width="7.77734375" bestFit="1" customWidth="1"/>
    <col min="169" max="169" width="9.88671875" bestFit="1" customWidth="1"/>
    <col min="170" max="170" width="9.5546875" bestFit="1" customWidth="1"/>
    <col min="171" max="171" width="30" bestFit="1" customWidth="1"/>
    <col min="172" max="172" width="23.77734375" bestFit="1" customWidth="1"/>
    <col min="173" max="173" width="15" bestFit="1" customWidth="1"/>
    <col min="174" max="174" width="27.5546875" bestFit="1" customWidth="1"/>
    <col min="175" max="175" width="22.44140625" bestFit="1" customWidth="1"/>
    <col min="176" max="176" width="16.5546875" bestFit="1" customWidth="1"/>
    <col min="177" max="177" width="21.44140625" bestFit="1" customWidth="1"/>
    <col min="178" max="178" width="29.109375" bestFit="1" customWidth="1"/>
    <col min="179" max="179" width="33.21875" bestFit="1" customWidth="1"/>
    <col min="180" max="180" width="17.33203125" bestFit="1" customWidth="1"/>
    <col min="181" max="181" width="33.109375" bestFit="1" customWidth="1"/>
    <col min="182" max="182" width="42.5546875" bestFit="1" customWidth="1"/>
    <col min="183" max="183" width="29.21875" bestFit="1" customWidth="1"/>
    <col min="184" max="253" width="38" bestFit="1" customWidth="1"/>
    <col min="254" max="254" width="20.44140625" bestFit="1" customWidth="1"/>
    <col min="255" max="255" width="30" bestFit="1" customWidth="1"/>
    <col min="256" max="256" width="23.77734375" bestFit="1" customWidth="1"/>
    <col min="257" max="257" width="15" bestFit="1" customWidth="1"/>
    <col min="258" max="258" width="27.5546875" bestFit="1" customWidth="1"/>
    <col min="259" max="259" width="22.44140625" bestFit="1" customWidth="1"/>
    <col min="260" max="260" width="16.5546875" bestFit="1" customWidth="1"/>
    <col min="261" max="261" width="21.44140625" bestFit="1" customWidth="1"/>
    <col min="262" max="262" width="29.109375" bestFit="1" customWidth="1"/>
    <col min="263" max="263" width="33.21875" bestFit="1" customWidth="1"/>
    <col min="264" max="264" width="17.33203125" bestFit="1" customWidth="1"/>
    <col min="265" max="265" width="33.109375" bestFit="1" customWidth="1"/>
    <col min="266" max="266" width="42.5546875" bestFit="1" customWidth="1"/>
    <col min="267" max="267" width="29.21875" bestFit="1" customWidth="1"/>
  </cols>
  <sheetData>
    <row r="1" spans="1:17" ht="15" thickBot="1" x14ac:dyDescent="0.35"/>
    <row r="2" spans="1:17" ht="15" thickBot="1" x14ac:dyDescent="0.35">
      <c r="A2" s="21" t="s">
        <v>1</v>
      </c>
      <c r="B2" s="21" t="s">
        <v>79</v>
      </c>
      <c r="C2" s="22" t="s">
        <v>65</v>
      </c>
      <c r="D2" s="22" t="s">
        <v>66</v>
      </c>
      <c r="E2" s="22" t="s">
        <v>67</v>
      </c>
      <c r="F2" s="22" t="s">
        <v>68</v>
      </c>
      <c r="G2" s="22" t="s">
        <v>69</v>
      </c>
      <c r="H2" s="22" t="s">
        <v>70</v>
      </c>
      <c r="I2" s="22" t="s">
        <v>71</v>
      </c>
      <c r="J2" s="22" t="s">
        <v>72</v>
      </c>
      <c r="K2" s="22" t="s">
        <v>73</v>
      </c>
      <c r="L2" s="22" t="s">
        <v>74</v>
      </c>
      <c r="M2" s="22" t="s">
        <v>75</v>
      </c>
      <c r="N2" s="22" t="s">
        <v>76</v>
      </c>
      <c r="O2" s="22" t="s">
        <v>77</v>
      </c>
      <c r="P2" s="23" t="s">
        <v>78</v>
      </c>
    </row>
    <row r="3" spans="1:17" x14ac:dyDescent="0.3">
      <c r="A3" s="59">
        <v>2022</v>
      </c>
      <c r="B3" s="19" t="s">
        <v>38</v>
      </c>
      <c r="C3" s="33">
        <f t="shared" ref="C3:P3" si="0">(C34/C33)-1</f>
        <v>1.0374708304225599E-2</v>
      </c>
      <c r="D3" s="9">
        <f t="shared" si="0"/>
        <v>5.6070735389261994E-3</v>
      </c>
      <c r="E3" s="9">
        <f t="shared" si="0"/>
        <v>1.0874559656915306E-2</v>
      </c>
      <c r="F3" s="9">
        <f t="shared" si="0"/>
        <v>5.185488829678242E-2</v>
      </c>
      <c r="G3" s="9">
        <f t="shared" si="0"/>
        <v>5.4556476055769298E-3</v>
      </c>
      <c r="H3" s="9">
        <f t="shared" si="0"/>
        <v>-6.9790628115652398E-3</v>
      </c>
      <c r="I3" s="9">
        <f t="shared" si="0"/>
        <v>-7.5949367088608E-3</v>
      </c>
      <c r="J3" s="9">
        <f t="shared" si="0"/>
        <v>4.1968430826369474E-2</v>
      </c>
      <c r="K3" s="27">
        <f t="shared" si="0"/>
        <v>-2.6326447954637677E-3</v>
      </c>
      <c r="L3" s="9">
        <f t="shared" si="0"/>
        <v>1.6675931072818173E-3</v>
      </c>
      <c r="M3" s="9">
        <f t="shared" si="0"/>
        <v>1.1937059142702156E-2</v>
      </c>
      <c r="N3" s="9">
        <f t="shared" si="0"/>
        <v>4.8115477145147523E-3</v>
      </c>
      <c r="O3" s="9">
        <f t="shared" si="0"/>
        <v>7.8495801387368225E-3</v>
      </c>
      <c r="P3" s="15">
        <f t="shared" si="0"/>
        <v>9.5858895705520641E-3</v>
      </c>
    </row>
    <row r="4" spans="1:17" x14ac:dyDescent="0.3">
      <c r="A4" s="59"/>
      <c r="B4" s="19" t="s">
        <v>39</v>
      </c>
      <c r="C4" s="9">
        <f t="shared" ref="C4:P4" si="1">(C35/C34)-1</f>
        <v>1.8682789767128227E-3</v>
      </c>
      <c r="D4" s="9">
        <f t="shared" si="1"/>
        <v>1.0079348059189419E-2</v>
      </c>
      <c r="E4" s="9">
        <f t="shared" si="1"/>
        <v>-2.893939393939382E-2</v>
      </c>
      <c r="F4" s="9">
        <f t="shared" si="1"/>
        <v>2.5136399064691783E-2</v>
      </c>
      <c r="G4" s="9">
        <f t="shared" si="1"/>
        <v>4.82315112540177E-3</v>
      </c>
      <c r="H4" s="9">
        <f t="shared" si="1"/>
        <v>-2.476572958500689E-2</v>
      </c>
      <c r="I4" s="9">
        <f t="shared" si="1"/>
        <v>2.6883830455258995E-2</v>
      </c>
      <c r="J4" s="9">
        <f t="shared" si="1"/>
        <v>-3.3862056674389684E-3</v>
      </c>
      <c r="K4" s="9">
        <f t="shared" si="1"/>
        <v>4.0609137055858113E-4</v>
      </c>
      <c r="L4" s="9">
        <f t="shared" si="1"/>
        <v>8.3240843507215168E-4</v>
      </c>
      <c r="M4" s="9">
        <f t="shared" si="1"/>
        <v>1.537086684539779E-2</v>
      </c>
      <c r="N4" s="9">
        <f t="shared" si="1"/>
        <v>2.9928172386275431E-3</v>
      </c>
      <c r="O4" s="9">
        <f t="shared" si="1"/>
        <v>7.0639376924470643E-3</v>
      </c>
      <c r="P4" s="15">
        <f t="shared" si="1"/>
        <v>5.6969236612225416E-4</v>
      </c>
    </row>
    <row r="5" spans="1:17" x14ac:dyDescent="0.3">
      <c r="A5" s="59"/>
      <c r="B5" s="19" t="s">
        <v>40</v>
      </c>
      <c r="C5" s="9">
        <f t="shared" ref="C5:P5" si="2">(C36/C35)-1</f>
        <v>1.2187243040056028E-3</v>
      </c>
      <c r="D5" s="9">
        <f t="shared" si="2"/>
        <v>2.3142250530785446E-2</v>
      </c>
      <c r="E5" s="27">
        <f t="shared" si="2"/>
        <v>-3.0269932906849872E-2</v>
      </c>
      <c r="F5" s="9">
        <f t="shared" si="2"/>
        <v>-3.4214027751378051E-2</v>
      </c>
      <c r="G5" s="9">
        <f t="shared" si="2"/>
        <v>8.799999999999919E-3</v>
      </c>
      <c r="H5" s="9">
        <f t="shared" si="2"/>
        <v>-1.6815374056279975E-2</v>
      </c>
      <c r="I5" s="9">
        <f t="shared" si="2"/>
        <v>-7.8348939422890895E-3</v>
      </c>
      <c r="J5" s="9">
        <f t="shared" si="2"/>
        <v>2.4499284692417689E-2</v>
      </c>
      <c r="K5" s="24">
        <f t="shared" si="2"/>
        <v>1.8063730464785932E-2</v>
      </c>
      <c r="L5" s="9">
        <f t="shared" si="2"/>
        <v>7.2082062655947077E-3</v>
      </c>
      <c r="M5" s="9">
        <f t="shared" si="2"/>
        <v>1.9010737546206524E-2</v>
      </c>
      <c r="N5" s="9">
        <f t="shared" si="2"/>
        <v>2.7849612094688059E-3</v>
      </c>
      <c r="O5" s="9">
        <f t="shared" si="2"/>
        <v>5.7553956834532904E-3</v>
      </c>
      <c r="P5" s="15">
        <f t="shared" si="2"/>
        <v>7.0222053520592187E-3</v>
      </c>
    </row>
    <row r="6" spans="1:17" x14ac:dyDescent="0.3">
      <c r="A6" s="59"/>
      <c r="B6" s="19" t="s">
        <v>41</v>
      </c>
      <c r="C6" s="9">
        <f t="shared" ref="C6:P6" si="3">(C37/C36)-1</f>
        <v>5.3382609588339403E-3</v>
      </c>
      <c r="D6" s="9">
        <f t="shared" si="3"/>
        <v>1.9506121601992055E-2</v>
      </c>
      <c r="E6" s="9">
        <f t="shared" si="3"/>
        <v>1.3032984714400619E-2</v>
      </c>
      <c r="F6" s="9">
        <f t="shared" si="3"/>
        <v>2.9521747687464295E-3</v>
      </c>
      <c r="G6" s="9">
        <f t="shared" si="3"/>
        <v>9.7145122918318449E-3</v>
      </c>
      <c r="H6" s="9">
        <f t="shared" si="3"/>
        <v>-1.9022687609074995E-2</v>
      </c>
      <c r="I6" s="9">
        <f t="shared" si="3"/>
        <v>-4.2180277349769146E-2</v>
      </c>
      <c r="J6" s="9">
        <f t="shared" si="3"/>
        <v>2.897538837493463E-2</v>
      </c>
      <c r="K6" s="9">
        <f t="shared" si="3"/>
        <v>1.1363636363636243E-2</v>
      </c>
      <c r="L6" s="9">
        <f t="shared" si="3"/>
        <v>6.055601431323776E-3</v>
      </c>
      <c r="M6" s="9">
        <f t="shared" si="3"/>
        <v>1.917429607876997E-2</v>
      </c>
      <c r="N6" s="9">
        <f t="shared" si="3"/>
        <v>3.5707200952190821E-3</v>
      </c>
      <c r="O6" s="9">
        <f t="shared" si="3"/>
        <v>6.080114449213081E-3</v>
      </c>
      <c r="P6" s="15">
        <f t="shared" si="3"/>
        <v>8.4809649453447822E-3</v>
      </c>
    </row>
    <row r="7" spans="1:17" x14ac:dyDescent="0.3">
      <c r="A7" s="59"/>
      <c r="B7" s="19" t="s">
        <v>42</v>
      </c>
      <c r="C7" s="9">
        <f t="shared" ref="C7:P7" si="4">(C38/C37)-1</f>
        <v>7.1479628305932685E-3</v>
      </c>
      <c r="D7" s="9">
        <f t="shared" si="4"/>
        <v>1.0177081213108119E-2</v>
      </c>
      <c r="E7" s="9">
        <f t="shared" si="4"/>
        <v>7.9415501905972796E-3</v>
      </c>
      <c r="F7" s="9">
        <f t="shared" si="4"/>
        <v>6.8681318681318437E-3</v>
      </c>
      <c r="G7" s="9">
        <f t="shared" si="4"/>
        <v>6.8721774985274209E-3</v>
      </c>
      <c r="H7" s="9">
        <f t="shared" si="4"/>
        <v>-1.1207970112079857E-2</v>
      </c>
      <c r="I7" s="9">
        <f t="shared" si="4"/>
        <v>-1.1260808365171848E-2</v>
      </c>
      <c r="J7" s="9">
        <f t="shared" si="4"/>
        <v>4.0033927056827734E-2</v>
      </c>
      <c r="K7" s="9">
        <f t="shared" si="4"/>
        <v>4.1395623891189448E-3</v>
      </c>
      <c r="L7" s="9">
        <f t="shared" si="4"/>
        <v>2.4623803009575784E-3</v>
      </c>
      <c r="M7" s="9">
        <f t="shared" si="4"/>
        <v>1.3389830508474532E-2</v>
      </c>
      <c r="N7" s="9">
        <f t="shared" si="4"/>
        <v>2.7673453251630953E-3</v>
      </c>
      <c r="O7" s="9">
        <f t="shared" si="4"/>
        <v>4.976892996800597E-3</v>
      </c>
      <c r="P7" s="26">
        <f t="shared" si="4"/>
        <v>9.7178097551857689E-3</v>
      </c>
    </row>
    <row r="8" spans="1:17" x14ac:dyDescent="0.3">
      <c r="A8" s="59"/>
      <c r="B8" s="19" t="s">
        <v>44</v>
      </c>
      <c r="C8" s="9">
        <f t="shared" ref="C8:P8" si="5">C39/C38-1</f>
        <v>-7.5317564925181379E-4</v>
      </c>
      <c r="D8" s="9">
        <f t="shared" si="5"/>
        <v>1.2895426153536338E-2</v>
      </c>
      <c r="E8" s="9">
        <f t="shared" si="5"/>
        <v>-7.2486605735896381E-3</v>
      </c>
      <c r="F8" s="9">
        <f t="shared" si="5"/>
        <v>6.1781329175599309E-2</v>
      </c>
      <c r="G8" s="9">
        <f t="shared" si="5"/>
        <v>7.9953198127928893E-3</v>
      </c>
      <c r="H8" s="24">
        <f t="shared" si="5"/>
        <v>1.2774379273119862E-2</v>
      </c>
      <c r="I8" s="9">
        <f t="shared" si="5"/>
        <v>-1.8913971934106266E-2</v>
      </c>
      <c r="J8" s="9">
        <f t="shared" si="5"/>
        <v>-8.628282498776696E-2</v>
      </c>
      <c r="K8" s="9">
        <f t="shared" si="5"/>
        <v>4.5151158225362753E-3</v>
      </c>
      <c r="L8" s="9">
        <f t="shared" si="5"/>
        <v>1.6375545851528006E-3</v>
      </c>
      <c r="M8" s="9">
        <f t="shared" si="5"/>
        <v>1.421642415119595E-2</v>
      </c>
      <c r="N8" s="9">
        <f t="shared" si="5"/>
        <v>3.1539522964714184E-3</v>
      </c>
      <c r="O8" s="9">
        <f t="shared" si="5"/>
        <v>6.0134418111070786E-3</v>
      </c>
      <c r="P8" s="15">
        <f t="shared" si="5"/>
        <v>-7.5883768276882035E-3</v>
      </c>
    </row>
    <row r="9" spans="1:17" x14ac:dyDescent="0.3">
      <c r="A9" s="59"/>
      <c r="B9" s="19" t="s">
        <v>45</v>
      </c>
      <c r="C9" s="34">
        <f t="shared" ref="C9:P9" si="6">(C40/C39)-1</f>
        <v>-6.1748974474192808E-3</v>
      </c>
      <c r="D9" s="9">
        <f t="shared" si="6"/>
        <v>1.094091903719896E-2</v>
      </c>
      <c r="E9" s="9">
        <f t="shared" si="6"/>
        <v>-1.9047619047619646E-3</v>
      </c>
      <c r="F9" s="9">
        <f t="shared" si="6"/>
        <v>4.8458149779735837E-2</v>
      </c>
      <c r="G9" s="9">
        <f t="shared" si="6"/>
        <v>7.7384407041978243E-3</v>
      </c>
      <c r="H9" s="9">
        <f t="shared" si="6"/>
        <v>-2.4871202700301742E-3</v>
      </c>
      <c r="I9" s="9">
        <f t="shared" si="6"/>
        <v>-1.6998341625207192E-2</v>
      </c>
      <c r="J9" s="9">
        <f t="shared" si="6"/>
        <v>-0.1274544805426634</v>
      </c>
      <c r="K9" s="9">
        <f t="shared" si="6"/>
        <v>1.7588430721127146E-3</v>
      </c>
      <c r="L9" s="9">
        <f t="shared" si="6"/>
        <v>-2.4523160762943697E-3</v>
      </c>
      <c r="M9" s="9">
        <f t="shared" si="6"/>
        <v>1.1213720316622711E-2</v>
      </c>
      <c r="N9" s="9">
        <f t="shared" si="6"/>
        <v>3.3405384161919738E-3</v>
      </c>
      <c r="O9" s="9">
        <f t="shared" si="6"/>
        <v>4.3952180028128396E-3</v>
      </c>
      <c r="P9" s="28">
        <f t="shared" si="6"/>
        <v>-1.3614323013801055E-2</v>
      </c>
    </row>
    <row r="10" spans="1:17" x14ac:dyDescent="0.3">
      <c r="A10" s="59">
        <v>2023</v>
      </c>
      <c r="B10" s="19" t="s">
        <v>31</v>
      </c>
      <c r="C10" s="9">
        <f t="shared" ref="C10:P10" si="7">(C42/C40)-1</f>
        <v>4.3463675743478092E-3</v>
      </c>
      <c r="D10" s="24">
        <f t="shared" si="7"/>
        <v>2.5383707201888983E-2</v>
      </c>
      <c r="E10" s="9">
        <f t="shared" si="7"/>
        <v>8.5877862595420407E-3</v>
      </c>
      <c r="F10" s="9">
        <f t="shared" si="7"/>
        <v>2.3109243697478909E-2</v>
      </c>
      <c r="G10" s="9">
        <f t="shared" si="7"/>
        <v>6.143213668650338E-3</v>
      </c>
      <c r="H10" s="9">
        <f t="shared" si="7"/>
        <v>-6.5894924309884972E-3</v>
      </c>
      <c r="I10" s="9">
        <f t="shared" si="7"/>
        <v>1.897933361450832E-3</v>
      </c>
      <c r="J10" s="9">
        <f t="shared" si="7"/>
        <v>-3.4165302782323992E-2</v>
      </c>
      <c r="K10" s="9">
        <f t="shared" si="7"/>
        <v>3.9016777214184728E-4</v>
      </c>
      <c r="L10" s="9">
        <f t="shared" si="7"/>
        <v>-5.4629882545750297E-3</v>
      </c>
      <c r="M10" s="9">
        <f t="shared" si="7"/>
        <v>1.6307893020221842E-2</v>
      </c>
      <c r="N10" s="9">
        <f t="shared" si="7"/>
        <v>2.7418723070895545E-3</v>
      </c>
      <c r="O10" s="9">
        <f t="shared" si="7"/>
        <v>4.7260633642571825E-3</v>
      </c>
      <c r="P10" s="15">
        <f t="shared" si="7"/>
        <v>4.3486481376444619E-3</v>
      </c>
    </row>
    <row r="11" spans="1:17" x14ac:dyDescent="0.3">
      <c r="A11" s="59"/>
      <c r="B11" s="19" t="s">
        <v>34</v>
      </c>
      <c r="C11" s="9">
        <f t="shared" ref="C11:P11" si="8">(C43/C42)-1</f>
        <v>-5.53288508735017E-3</v>
      </c>
      <c r="D11" s="9">
        <f t="shared" si="8"/>
        <v>4.2218384187293623E-3</v>
      </c>
      <c r="E11" s="9">
        <f t="shared" si="8"/>
        <v>-1.4348785871964753E-2</v>
      </c>
      <c r="F11" s="9">
        <f t="shared" si="8"/>
        <v>-9.9418206707734491E-2</v>
      </c>
      <c r="G11" s="24">
        <f t="shared" si="8"/>
        <v>1.5455065827132408E-2</v>
      </c>
      <c r="H11" s="27">
        <f t="shared" si="8"/>
        <v>-4.1054141269272093E-2</v>
      </c>
      <c r="I11" s="9">
        <f t="shared" si="8"/>
        <v>7.0932435276783723E-2</v>
      </c>
      <c r="J11" s="9">
        <f t="shared" si="8"/>
        <v>-5.7191273035374079E-3</v>
      </c>
      <c r="K11" s="9">
        <f t="shared" si="8"/>
        <v>1.5600624024962872E-3</v>
      </c>
      <c r="L11" s="27">
        <f t="shared" si="8"/>
        <v>-8.5141444658062282E-3</v>
      </c>
      <c r="M11" s="9">
        <f t="shared" si="8"/>
        <v>5.4557124518612721E-3</v>
      </c>
      <c r="N11" s="24">
        <f t="shared" si="8"/>
        <v>5.4687500000001332E-3</v>
      </c>
      <c r="O11" s="24">
        <f t="shared" si="8"/>
        <v>9.5818815331010221E-3</v>
      </c>
      <c r="P11" s="15">
        <f t="shared" si="8"/>
        <v>2.4472891566262867E-3</v>
      </c>
    </row>
    <row r="12" spans="1:17" x14ac:dyDescent="0.3">
      <c r="A12" s="59"/>
      <c r="B12" s="19" t="s">
        <v>35</v>
      </c>
      <c r="C12" s="9">
        <v>0</v>
      </c>
      <c r="D12" s="9">
        <f t="shared" ref="D12:P12" si="9">(D44/D43)-1</f>
        <v>1.9109497420255472E-4</v>
      </c>
      <c r="E12" s="9">
        <f t="shared" si="9"/>
        <v>0</v>
      </c>
      <c r="F12" s="9">
        <f t="shared" si="9"/>
        <v>0</v>
      </c>
      <c r="G12" s="27">
        <f t="shared" si="9"/>
        <v>0</v>
      </c>
      <c r="H12" s="9">
        <f t="shared" si="9"/>
        <v>-3.7390166386219725E-4</v>
      </c>
      <c r="I12" s="9">
        <f t="shared" si="9"/>
        <v>0</v>
      </c>
      <c r="J12" s="9">
        <f t="shared" si="9"/>
        <v>4.260758414997845E-4</v>
      </c>
      <c r="K12" s="9">
        <f t="shared" si="9"/>
        <v>3.8940809968823764E-4</v>
      </c>
      <c r="L12" s="9">
        <f t="shared" si="9"/>
        <v>0</v>
      </c>
      <c r="M12" s="27">
        <f t="shared" si="9"/>
        <v>0</v>
      </c>
      <c r="N12" s="27">
        <f t="shared" si="9"/>
        <v>0</v>
      </c>
      <c r="O12" s="27">
        <f t="shared" si="9"/>
        <v>0</v>
      </c>
      <c r="P12" s="15">
        <f t="shared" si="9"/>
        <v>1.877934272300763E-4</v>
      </c>
    </row>
    <row r="13" spans="1:17" x14ac:dyDescent="0.3">
      <c r="A13" s="59"/>
      <c r="B13" s="19" t="s">
        <v>36</v>
      </c>
      <c r="C13" s="9">
        <f>(C45/C44)-1</f>
        <v>4.8332457216282432E-3</v>
      </c>
      <c r="D13" s="27">
        <f t="shared" ref="D13:P13" si="10">(D45/D44)-1</f>
        <v>-2.8658769583492782E-3</v>
      </c>
      <c r="E13" s="9">
        <f t="shared" si="10"/>
        <v>7.6787713965766891E-3</v>
      </c>
      <c r="F13" s="9">
        <f t="shared" si="10"/>
        <v>-3.1160934828044717E-2</v>
      </c>
      <c r="G13" s="9">
        <f t="shared" si="10"/>
        <v>6.0127771514468797E-3</v>
      </c>
      <c r="H13" s="9">
        <f t="shared" si="10"/>
        <v>-2.3564615672339695E-2</v>
      </c>
      <c r="I13" s="9">
        <f t="shared" si="10"/>
        <v>4.0094339622641639E-2</v>
      </c>
      <c r="J13" s="9">
        <f t="shared" si="10"/>
        <v>1.8100511073253944E-2</v>
      </c>
      <c r="K13" s="9">
        <f t="shared" si="10"/>
        <v>1.3818606461658334E-2</v>
      </c>
      <c r="L13" s="9">
        <f t="shared" si="10"/>
        <v>1.0526315789473495E-2</v>
      </c>
      <c r="M13" s="9">
        <f t="shared" si="10"/>
        <v>1.5320778806256152E-2</v>
      </c>
      <c r="N13" s="9">
        <f t="shared" si="10"/>
        <v>3.4965034965031005E-3</v>
      </c>
      <c r="O13" s="9">
        <f t="shared" si="10"/>
        <v>2.5884383088869978E-3</v>
      </c>
      <c r="P13" s="15">
        <f t="shared" si="10"/>
        <v>5.4449868569281801E-3</v>
      </c>
    </row>
    <row r="14" spans="1:17" ht="15" thickBot="1" x14ac:dyDescent="0.35">
      <c r="A14" s="60"/>
      <c r="B14" s="20" t="s">
        <v>37</v>
      </c>
      <c r="C14" s="16">
        <f>(C46/C45)-1</f>
        <v>7.4402383201339628E-3</v>
      </c>
      <c r="D14" s="16">
        <f t="shared" ref="D14:P14" si="11">(D46/D45)-1</f>
        <v>-5.748227629817082E-4</v>
      </c>
      <c r="E14" s="25">
        <f t="shared" si="11"/>
        <v>2.4289569772979913E-2</v>
      </c>
      <c r="F14" s="16">
        <f t="shared" si="11"/>
        <v>2.1572857423024061E-2</v>
      </c>
      <c r="G14" s="16">
        <f t="shared" si="11"/>
        <v>5.7900635039220827E-3</v>
      </c>
      <c r="H14" s="16">
        <f t="shared" si="11"/>
        <v>-2.758092319479033E-2</v>
      </c>
      <c r="I14" s="16">
        <f t="shared" si="11"/>
        <v>-2.3053665910808707E-2</v>
      </c>
      <c r="J14" s="16">
        <f t="shared" si="11"/>
        <v>3.4720769713449062E-2</v>
      </c>
      <c r="K14" s="16">
        <f t="shared" si="11"/>
        <v>1.2478402764446006E-2</v>
      </c>
      <c r="L14" s="25">
        <f t="shared" si="11"/>
        <v>1.0964912280701844E-2</v>
      </c>
      <c r="M14" s="25">
        <f t="shared" si="11"/>
        <v>2.3105941527821416E-2</v>
      </c>
      <c r="N14" s="16">
        <f t="shared" si="11"/>
        <v>2.7100271002711285E-3</v>
      </c>
      <c r="O14" s="16">
        <f t="shared" si="11"/>
        <v>3.4423407917385518E-3</v>
      </c>
      <c r="P14" s="17">
        <f t="shared" si="11"/>
        <v>6.5359477124182774E-3</v>
      </c>
    </row>
    <row r="15" spans="1:17" ht="15" thickBot="1" x14ac:dyDescent="0.35">
      <c r="C15" s="22" t="s">
        <v>65</v>
      </c>
      <c r="D15" s="22" t="s">
        <v>66</v>
      </c>
      <c r="E15" s="22" t="s">
        <v>67</v>
      </c>
      <c r="F15" s="22" t="s">
        <v>68</v>
      </c>
      <c r="G15" s="22" t="s">
        <v>69</v>
      </c>
      <c r="H15" s="22" t="s">
        <v>70</v>
      </c>
      <c r="I15" s="22" t="s">
        <v>71</v>
      </c>
      <c r="J15" s="22" t="s">
        <v>72</v>
      </c>
      <c r="K15" s="22" t="s">
        <v>73</v>
      </c>
      <c r="L15" s="22" t="s">
        <v>74</v>
      </c>
      <c r="M15" s="22" t="s">
        <v>75</v>
      </c>
      <c r="N15" s="22" t="s">
        <v>76</v>
      </c>
      <c r="O15" s="22" t="s">
        <v>77</v>
      </c>
      <c r="P15" s="23" t="s">
        <v>78</v>
      </c>
    </row>
    <row r="16" spans="1:17" x14ac:dyDescent="0.3">
      <c r="A16" t="s">
        <v>80</v>
      </c>
      <c r="C16" s="9">
        <f>MAX(C3:C14)</f>
        <v>1.0374708304225599E-2</v>
      </c>
      <c r="D16" s="9">
        <f t="shared" ref="D16:P16" si="12">MAX(D3:D14)</f>
        <v>2.5383707201888983E-2</v>
      </c>
      <c r="E16" s="9">
        <f t="shared" si="12"/>
        <v>2.4289569772979913E-2</v>
      </c>
      <c r="F16" s="9">
        <f t="shared" si="12"/>
        <v>6.1781329175599309E-2</v>
      </c>
      <c r="G16" s="9">
        <f t="shared" si="12"/>
        <v>1.5455065827132408E-2</v>
      </c>
      <c r="H16" s="9">
        <f t="shared" si="12"/>
        <v>1.2774379273119862E-2</v>
      </c>
      <c r="I16" s="9">
        <f t="shared" si="12"/>
        <v>7.0932435276783723E-2</v>
      </c>
      <c r="J16" s="9">
        <f t="shared" si="12"/>
        <v>4.1968430826369474E-2</v>
      </c>
      <c r="K16" s="9">
        <f t="shared" si="12"/>
        <v>1.8063730464785932E-2</v>
      </c>
      <c r="L16" s="9">
        <f t="shared" si="12"/>
        <v>1.0964912280701844E-2</v>
      </c>
      <c r="M16" s="9">
        <f t="shared" si="12"/>
        <v>2.3105941527821416E-2</v>
      </c>
      <c r="N16" s="9">
        <f t="shared" si="12"/>
        <v>5.4687500000001332E-3</v>
      </c>
      <c r="O16" s="9">
        <f t="shared" si="12"/>
        <v>9.5818815331010221E-3</v>
      </c>
      <c r="P16" s="9">
        <f t="shared" si="12"/>
        <v>9.7178097551857689E-3</v>
      </c>
      <c r="Q16" s="9"/>
    </row>
    <row r="17" spans="1:17" x14ac:dyDescent="0.3">
      <c r="A17" t="s">
        <v>81</v>
      </c>
      <c r="C17" s="9">
        <f>MIN(C3:C14)</f>
        <v>-6.1748974474192808E-3</v>
      </c>
      <c r="D17" s="9">
        <f t="shared" ref="D17:P17" si="13">MIN(D3:D14)</f>
        <v>-2.8658769583492782E-3</v>
      </c>
      <c r="E17" s="9">
        <f t="shared" si="13"/>
        <v>-3.0269932906849872E-2</v>
      </c>
      <c r="F17" s="9">
        <f t="shared" si="13"/>
        <v>-9.9418206707734491E-2</v>
      </c>
      <c r="G17" s="9">
        <f t="shared" si="13"/>
        <v>0</v>
      </c>
      <c r="H17" s="9">
        <f t="shared" si="13"/>
        <v>-4.1054141269272093E-2</v>
      </c>
      <c r="I17" s="9">
        <f t="shared" si="13"/>
        <v>-4.2180277349769146E-2</v>
      </c>
      <c r="J17" s="9">
        <f t="shared" si="13"/>
        <v>-0.1274544805426634</v>
      </c>
      <c r="K17" s="9">
        <f t="shared" si="13"/>
        <v>-2.6326447954637677E-3</v>
      </c>
      <c r="L17" s="9">
        <f t="shared" si="13"/>
        <v>-8.5141444658062282E-3</v>
      </c>
      <c r="M17" s="9">
        <f t="shared" si="13"/>
        <v>0</v>
      </c>
      <c r="N17" s="9">
        <f t="shared" si="13"/>
        <v>0</v>
      </c>
      <c r="O17" s="9">
        <f t="shared" si="13"/>
        <v>0</v>
      </c>
      <c r="P17" s="9">
        <f t="shared" si="13"/>
        <v>-1.3614323013801055E-2</v>
      </c>
      <c r="Q17" s="9"/>
    </row>
    <row r="18" spans="1:17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3">
      <c r="A19" s="37" t="s">
        <v>126</v>
      </c>
      <c r="B19" t="s">
        <v>127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3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3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3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3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3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7" spans="1:17" x14ac:dyDescent="0.3">
      <c r="B27" s="5" t="s">
        <v>57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s">
        <v>72</v>
      </c>
      <c r="K27" t="s">
        <v>73</v>
      </c>
      <c r="L27" t="s">
        <v>74</v>
      </c>
      <c r="M27" t="s">
        <v>75</v>
      </c>
      <c r="N27" t="s">
        <v>76</v>
      </c>
      <c r="O27" t="s">
        <v>77</v>
      </c>
      <c r="P27" t="s">
        <v>78</v>
      </c>
    </row>
    <row r="28" spans="1:17" x14ac:dyDescent="0.3">
      <c r="B28" s="6">
        <v>2022</v>
      </c>
      <c r="C28" s="2">
        <v>172.8183760683761</v>
      </c>
      <c r="D28" s="2">
        <v>158.27777777777771</v>
      </c>
      <c r="E28" s="2">
        <v>210.32499999999993</v>
      </c>
      <c r="F28" s="2">
        <v>173.21111111111105</v>
      </c>
      <c r="G28" s="2">
        <v>166.63611111111112</v>
      </c>
      <c r="H28" s="2">
        <v>190.70555555555558</v>
      </c>
      <c r="I28" s="2">
        <v>164.59444444444443</v>
      </c>
      <c r="J28" s="2">
        <v>182.35833333333338</v>
      </c>
      <c r="K28" s="2">
        <v>166.37222222222221</v>
      </c>
      <c r="L28" s="2">
        <v>120.61944444444445</v>
      </c>
      <c r="M28" s="2">
        <v>188.25000000000006</v>
      </c>
      <c r="N28" s="2">
        <v>166.99444444444444</v>
      </c>
      <c r="O28" s="2">
        <v>184.19166666666666</v>
      </c>
      <c r="P28" s="2">
        <v>174.10277777777782</v>
      </c>
    </row>
    <row r="29" spans="1:17" x14ac:dyDescent="0.3">
      <c r="B29" s="8" t="s">
        <v>31</v>
      </c>
      <c r="C29" s="2">
        <v>166.76666666666665</v>
      </c>
      <c r="D29" s="2">
        <v>150</v>
      </c>
      <c r="E29" s="2">
        <v>199.23333333333332</v>
      </c>
      <c r="F29" s="2">
        <v>178.96666666666667</v>
      </c>
      <c r="G29" s="2">
        <v>160.46666666666667</v>
      </c>
      <c r="H29" s="2">
        <v>182.76666666666665</v>
      </c>
      <c r="I29" s="2">
        <v>153.79999999999998</v>
      </c>
      <c r="J29" s="2">
        <v>179.0333333333333</v>
      </c>
      <c r="K29" s="2">
        <v>163.9</v>
      </c>
      <c r="L29" s="2">
        <v>120.2</v>
      </c>
      <c r="M29" s="2">
        <v>171.73333333333335</v>
      </c>
      <c r="N29" s="2">
        <v>163.56666666666666</v>
      </c>
      <c r="O29" s="2">
        <v>177.36666666666667</v>
      </c>
      <c r="P29" s="2">
        <v>166.93333333333337</v>
      </c>
    </row>
    <row r="30" spans="1:17" x14ac:dyDescent="0.3">
      <c r="B30" s="8" t="s">
        <v>34</v>
      </c>
      <c r="C30" s="2">
        <v>166.54102564102564</v>
      </c>
      <c r="D30" s="2">
        <v>150.43333333333334</v>
      </c>
      <c r="E30" s="2">
        <v>201.29999999999998</v>
      </c>
      <c r="F30" s="2">
        <v>175.9</v>
      </c>
      <c r="G30" s="2">
        <v>160.66666666666666</v>
      </c>
      <c r="H30" s="2">
        <v>183</v>
      </c>
      <c r="I30" s="2">
        <v>153.83333333333334</v>
      </c>
      <c r="J30" s="2">
        <v>174.29999999999998</v>
      </c>
      <c r="K30" s="2">
        <v>163.6</v>
      </c>
      <c r="L30" s="2">
        <v>119.2</v>
      </c>
      <c r="M30" s="2">
        <v>173.96666666666667</v>
      </c>
      <c r="N30" s="2">
        <v>163.96666666666667</v>
      </c>
      <c r="O30" s="2">
        <v>178.1</v>
      </c>
      <c r="P30" s="2">
        <v>166.76666666666665</v>
      </c>
    </row>
    <row r="31" spans="1:17" x14ac:dyDescent="0.3">
      <c r="B31" s="8" t="s">
        <v>35</v>
      </c>
      <c r="C31" s="2">
        <v>168.19487179487183</v>
      </c>
      <c r="D31" s="2">
        <v>151.73333333333332</v>
      </c>
      <c r="E31" s="2">
        <v>211.5</v>
      </c>
      <c r="F31" s="2">
        <v>167.79999999999998</v>
      </c>
      <c r="G31" s="2">
        <v>162.26666666666665</v>
      </c>
      <c r="H31" s="2">
        <v>192.56666666666669</v>
      </c>
      <c r="I31" s="2">
        <v>157.70000000000002</v>
      </c>
      <c r="J31" s="2">
        <v>170.36666666666667</v>
      </c>
      <c r="K31" s="2">
        <v>163.83333333333334</v>
      </c>
      <c r="L31" s="2">
        <v>119.06666666666666</v>
      </c>
      <c r="M31" s="2">
        <v>176.93333333333331</v>
      </c>
      <c r="N31" s="2">
        <v>164.53333333333333</v>
      </c>
      <c r="O31" s="2">
        <v>179.4</v>
      </c>
      <c r="P31" s="2">
        <v>168.83333333333334</v>
      </c>
    </row>
    <row r="32" spans="1:17" x14ac:dyDescent="0.3">
      <c r="B32" s="8" t="s">
        <v>36</v>
      </c>
      <c r="C32" s="2">
        <v>170.54615384615386</v>
      </c>
      <c r="D32" s="2">
        <v>153.36666666666667</v>
      </c>
      <c r="E32" s="2">
        <v>212.43333333333331</v>
      </c>
      <c r="F32" s="2">
        <v>164.53333333333333</v>
      </c>
      <c r="G32" s="2">
        <v>163.96666666666667</v>
      </c>
      <c r="H32" s="2">
        <v>197.63333333333333</v>
      </c>
      <c r="I32" s="2">
        <v>172.73333333333335</v>
      </c>
      <c r="J32" s="2">
        <v>170.16666666666666</v>
      </c>
      <c r="K32" s="2">
        <v>164.6</v>
      </c>
      <c r="L32" s="2">
        <v>119.23333333333333</v>
      </c>
      <c r="M32" s="2">
        <v>180.73333333333335</v>
      </c>
      <c r="N32" s="2">
        <v>165.36666666666667</v>
      </c>
      <c r="O32" s="2">
        <v>181.03333333333333</v>
      </c>
      <c r="P32" s="2">
        <v>171.29999999999998</v>
      </c>
    </row>
    <row r="33" spans="2:16" x14ac:dyDescent="0.3">
      <c r="B33" s="8" t="s">
        <v>37</v>
      </c>
      <c r="C33" s="2">
        <v>172.5102564102564</v>
      </c>
      <c r="D33" s="2">
        <v>154.56666666666663</v>
      </c>
      <c r="E33" s="2">
        <v>217.63333333333333</v>
      </c>
      <c r="F33" s="2">
        <v>162.63333333333333</v>
      </c>
      <c r="G33" s="2">
        <v>164.96666666666667</v>
      </c>
      <c r="H33" s="2">
        <v>200.6</v>
      </c>
      <c r="I33" s="2">
        <v>171.16666666666666</v>
      </c>
      <c r="J33" s="2">
        <v>179.5</v>
      </c>
      <c r="K33" s="2">
        <v>164.6</v>
      </c>
      <c r="L33" s="2">
        <v>119.93333333333334</v>
      </c>
      <c r="M33" s="2">
        <v>184.29999999999998</v>
      </c>
      <c r="N33" s="2">
        <v>166.26666666666668</v>
      </c>
      <c r="O33" s="2">
        <v>182.6</v>
      </c>
      <c r="P33" s="2">
        <v>173.86666666666667</v>
      </c>
    </row>
    <row r="34" spans="2:16" x14ac:dyDescent="0.3">
      <c r="B34" s="8" t="s">
        <v>38</v>
      </c>
      <c r="C34" s="2">
        <v>174.29999999999998</v>
      </c>
      <c r="D34" s="2">
        <v>155.43333333333334</v>
      </c>
      <c r="E34" s="2">
        <v>220</v>
      </c>
      <c r="F34" s="2">
        <v>171.06666666666669</v>
      </c>
      <c r="G34" s="2">
        <v>165.86666666666667</v>
      </c>
      <c r="H34" s="2">
        <v>199.20000000000002</v>
      </c>
      <c r="I34" s="2">
        <v>169.86666666666665</v>
      </c>
      <c r="J34" s="2">
        <v>187.03333333333333</v>
      </c>
      <c r="K34" s="2">
        <v>164.16666666666666</v>
      </c>
      <c r="L34" s="2">
        <v>120.13333333333333</v>
      </c>
      <c r="M34" s="2">
        <v>186.5</v>
      </c>
      <c r="N34" s="2">
        <v>167.06666666666666</v>
      </c>
      <c r="O34" s="2">
        <v>184.03333333333333</v>
      </c>
      <c r="P34" s="2">
        <v>175.53333333333333</v>
      </c>
    </row>
    <row r="35" spans="2:16" x14ac:dyDescent="0.3">
      <c r="B35" s="8" t="s">
        <v>39</v>
      </c>
      <c r="C35" s="2">
        <v>174.62564102564102</v>
      </c>
      <c r="D35" s="2">
        <v>157</v>
      </c>
      <c r="E35" s="2">
        <v>213.63333333333335</v>
      </c>
      <c r="F35" s="2">
        <v>175.36666666666665</v>
      </c>
      <c r="G35" s="2">
        <v>166.66666666666666</v>
      </c>
      <c r="H35" s="2">
        <v>194.26666666666665</v>
      </c>
      <c r="I35" s="2">
        <v>174.43333333333331</v>
      </c>
      <c r="J35" s="2">
        <v>186.4</v>
      </c>
      <c r="K35" s="2">
        <v>164.23333333333335</v>
      </c>
      <c r="L35" s="2">
        <v>120.23333333333333</v>
      </c>
      <c r="M35" s="2">
        <v>189.36666666666667</v>
      </c>
      <c r="N35" s="2">
        <v>167.56666666666669</v>
      </c>
      <c r="O35" s="2">
        <v>185.33333333333334</v>
      </c>
      <c r="P35" s="2">
        <v>175.63333333333333</v>
      </c>
    </row>
    <row r="36" spans="2:16" x14ac:dyDescent="0.3">
      <c r="B36" s="8" t="s">
        <v>40</v>
      </c>
      <c r="C36" s="2">
        <v>174.83846153846153</v>
      </c>
      <c r="D36" s="2">
        <v>160.63333333333333</v>
      </c>
      <c r="E36" s="2">
        <v>207.16666666666666</v>
      </c>
      <c r="F36" s="2">
        <v>169.36666666666665</v>
      </c>
      <c r="G36" s="2">
        <v>168.13333333333333</v>
      </c>
      <c r="H36" s="2">
        <v>191</v>
      </c>
      <c r="I36" s="2">
        <v>173.06666666666669</v>
      </c>
      <c r="J36" s="2">
        <v>190.96666666666667</v>
      </c>
      <c r="K36" s="2">
        <v>167.20000000000002</v>
      </c>
      <c r="L36" s="2">
        <v>121.10000000000001</v>
      </c>
      <c r="M36" s="2">
        <v>192.96666666666667</v>
      </c>
      <c r="N36" s="2">
        <v>168.03333333333333</v>
      </c>
      <c r="O36" s="2">
        <v>186.4</v>
      </c>
      <c r="P36" s="2">
        <v>176.86666666666667</v>
      </c>
    </row>
    <row r="37" spans="2:16" x14ac:dyDescent="0.3">
      <c r="B37" s="8" t="s">
        <v>41</v>
      </c>
      <c r="C37" s="2">
        <v>175.7717948717949</v>
      </c>
      <c r="D37" s="2">
        <v>163.76666666666665</v>
      </c>
      <c r="E37" s="2">
        <v>209.86666666666665</v>
      </c>
      <c r="F37" s="2">
        <v>169.86666666666667</v>
      </c>
      <c r="G37" s="2">
        <v>169.76666666666665</v>
      </c>
      <c r="H37" s="2">
        <v>187.36666666666667</v>
      </c>
      <c r="I37" s="2">
        <v>165.76666666666665</v>
      </c>
      <c r="J37" s="2">
        <v>196.5</v>
      </c>
      <c r="K37" s="2">
        <v>169.1</v>
      </c>
      <c r="L37" s="2">
        <v>121.83333333333333</v>
      </c>
      <c r="M37" s="2">
        <v>196.66666666666666</v>
      </c>
      <c r="N37" s="2">
        <v>168.63333333333333</v>
      </c>
      <c r="O37" s="2">
        <v>187.53333333333333</v>
      </c>
      <c r="P37" s="2">
        <v>178.36666666666667</v>
      </c>
    </row>
    <row r="38" spans="2:16" x14ac:dyDescent="0.3">
      <c r="B38" s="8" t="s">
        <v>42</v>
      </c>
      <c r="C38" s="2">
        <v>177.02820512820514</v>
      </c>
      <c r="D38" s="2">
        <v>165.43333333333334</v>
      </c>
      <c r="E38" s="2">
        <v>211.53333333333333</v>
      </c>
      <c r="F38" s="2">
        <v>171.03333333333333</v>
      </c>
      <c r="G38" s="2">
        <v>170.93333333333331</v>
      </c>
      <c r="H38" s="2">
        <v>185.26666666666665</v>
      </c>
      <c r="I38" s="2">
        <v>163.9</v>
      </c>
      <c r="J38" s="2">
        <v>204.36666666666665</v>
      </c>
      <c r="K38" s="2">
        <v>169.8</v>
      </c>
      <c r="L38" s="2">
        <v>122.13333333333333</v>
      </c>
      <c r="M38" s="2">
        <v>199.29999999999998</v>
      </c>
      <c r="N38" s="2">
        <v>169.1</v>
      </c>
      <c r="O38" s="2">
        <v>188.46666666666667</v>
      </c>
      <c r="P38" s="2">
        <v>180.1</v>
      </c>
    </row>
    <row r="39" spans="2:16" x14ac:dyDescent="0.3">
      <c r="B39" s="8" t="s">
        <v>44</v>
      </c>
      <c r="C39" s="2">
        <v>176.89487179487182</v>
      </c>
      <c r="D39" s="2">
        <v>167.56666666666669</v>
      </c>
      <c r="E39" s="2">
        <v>210</v>
      </c>
      <c r="F39" s="2">
        <v>181.6</v>
      </c>
      <c r="G39" s="2">
        <v>172.30000000000004</v>
      </c>
      <c r="H39" s="2">
        <v>187.63333333333333</v>
      </c>
      <c r="I39" s="2">
        <v>160.79999999999998</v>
      </c>
      <c r="J39" s="2">
        <v>186.73333333333335</v>
      </c>
      <c r="K39" s="2">
        <v>170.56666666666666</v>
      </c>
      <c r="L39" s="2">
        <v>122.33333333333333</v>
      </c>
      <c r="M39" s="2">
        <v>202.13333333333335</v>
      </c>
      <c r="N39" s="2">
        <v>169.63333333333333</v>
      </c>
      <c r="O39" s="2">
        <v>189.6</v>
      </c>
      <c r="P39" s="2">
        <v>178.73333333333335</v>
      </c>
    </row>
    <row r="40" spans="2:16" x14ac:dyDescent="0.3">
      <c r="B40" s="8" t="s">
        <v>45</v>
      </c>
      <c r="C40" s="2">
        <v>175.80256410256411</v>
      </c>
      <c r="D40" s="2">
        <v>169.4</v>
      </c>
      <c r="E40" s="2">
        <v>209.6</v>
      </c>
      <c r="F40" s="2">
        <v>190.4</v>
      </c>
      <c r="G40" s="2">
        <v>173.63333333333333</v>
      </c>
      <c r="H40" s="2">
        <v>187.16666666666666</v>
      </c>
      <c r="I40" s="2">
        <v>158.06666666666666</v>
      </c>
      <c r="J40" s="2">
        <v>162.93333333333334</v>
      </c>
      <c r="K40" s="2">
        <v>170.86666666666667</v>
      </c>
      <c r="L40" s="2">
        <v>122.03333333333332</v>
      </c>
      <c r="M40" s="2">
        <v>204.4</v>
      </c>
      <c r="N40" s="2">
        <v>170.20000000000002</v>
      </c>
      <c r="O40" s="2">
        <v>190.43333333333331</v>
      </c>
      <c r="P40" s="2">
        <v>176.29999999999998</v>
      </c>
    </row>
    <row r="41" spans="2:16" x14ac:dyDescent="0.3">
      <c r="B41" s="6">
        <v>2023</v>
      </c>
      <c r="C41" s="2">
        <v>176.39333333333337</v>
      </c>
      <c r="D41" s="2">
        <v>174.08666666666664</v>
      </c>
      <c r="E41" s="2">
        <v>210.63333333333335</v>
      </c>
      <c r="F41" s="2">
        <v>177.85333333333332</v>
      </c>
      <c r="G41" s="2">
        <v>177.49333333333331</v>
      </c>
      <c r="H41" s="2">
        <v>177.14666666666668</v>
      </c>
      <c r="I41" s="2">
        <v>169.26000000000002</v>
      </c>
      <c r="J41" s="2">
        <v>158.92666666666668</v>
      </c>
      <c r="K41" s="2">
        <v>172.56666666666669</v>
      </c>
      <c r="L41" s="2">
        <v>121.31333333333333</v>
      </c>
      <c r="M41" s="2">
        <v>210.9</v>
      </c>
      <c r="N41" s="2">
        <v>171.74666666666664</v>
      </c>
      <c r="O41" s="2">
        <v>193.1333333333333</v>
      </c>
      <c r="P41" s="2">
        <v>178.05333333333334</v>
      </c>
    </row>
    <row r="42" spans="2:16" x14ac:dyDescent="0.3">
      <c r="B42" s="8" t="s">
        <v>31</v>
      </c>
      <c r="C42" s="2">
        <v>176.56666666666669</v>
      </c>
      <c r="D42" s="2">
        <v>173.70000000000002</v>
      </c>
      <c r="E42" s="2">
        <v>211.4</v>
      </c>
      <c r="F42" s="2">
        <v>194.79999999999998</v>
      </c>
      <c r="G42" s="2">
        <v>174.69999999999996</v>
      </c>
      <c r="H42" s="2">
        <v>185.93333333333331</v>
      </c>
      <c r="I42" s="2">
        <v>158.36666666666667</v>
      </c>
      <c r="J42" s="2">
        <v>157.36666666666667</v>
      </c>
      <c r="K42" s="2">
        <v>170.93333333333331</v>
      </c>
      <c r="L42" s="2">
        <v>121.36666666666667</v>
      </c>
      <c r="M42" s="2">
        <v>207.73333333333335</v>
      </c>
      <c r="N42" s="2">
        <v>170.66666666666666</v>
      </c>
      <c r="O42" s="2">
        <v>191.33333333333334</v>
      </c>
      <c r="P42" s="2">
        <v>177.06666666666669</v>
      </c>
    </row>
    <row r="43" spans="2:16" x14ac:dyDescent="0.3">
      <c r="B43" s="8" t="s">
        <v>34</v>
      </c>
      <c r="C43" s="2">
        <v>175.58974358974356</v>
      </c>
      <c r="D43" s="2">
        <v>174.43333333333331</v>
      </c>
      <c r="E43" s="2">
        <v>208.36666666666665</v>
      </c>
      <c r="F43" s="2">
        <v>175.43333333333331</v>
      </c>
      <c r="G43" s="2">
        <v>177.4</v>
      </c>
      <c r="H43" s="2">
        <v>178.29999999999998</v>
      </c>
      <c r="I43" s="2">
        <v>169.6</v>
      </c>
      <c r="J43" s="2">
        <v>156.46666666666667</v>
      </c>
      <c r="K43" s="2">
        <v>171.20000000000002</v>
      </c>
      <c r="L43" s="2">
        <v>120.33333333333333</v>
      </c>
      <c r="M43" s="2">
        <v>208.86666666666667</v>
      </c>
      <c r="N43" s="2">
        <v>171.60000000000002</v>
      </c>
      <c r="O43" s="2">
        <v>193.16666666666666</v>
      </c>
      <c r="P43" s="2">
        <v>177.5</v>
      </c>
    </row>
    <row r="44" spans="2:16" x14ac:dyDescent="0.3">
      <c r="B44" s="8" t="s">
        <v>35</v>
      </c>
      <c r="C44" s="2">
        <v>175.6</v>
      </c>
      <c r="D44" s="2">
        <v>174.4666666666667</v>
      </c>
      <c r="E44" s="2">
        <v>208.36666666666665</v>
      </c>
      <c r="F44" s="2">
        <v>175.43333333333331</v>
      </c>
      <c r="G44" s="2">
        <v>177.4</v>
      </c>
      <c r="H44" s="2">
        <v>178.23333333333335</v>
      </c>
      <c r="I44" s="2">
        <v>169.6</v>
      </c>
      <c r="J44" s="2">
        <v>156.53333333333333</v>
      </c>
      <c r="K44" s="2">
        <v>171.26666666666665</v>
      </c>
      <c r="L44" s="2">
        <v>120.33333333333333</v>
      </c>
      <c r="M44" s="2">
        <v>208.86666666666667</v>
      </c>
      <c r="N44" s="2">
        <v>171.60000000000002</v>
      </c>
      <c r="O44" s="2">
        <v>193.16666666666666</v>
      </c>
      <c r="P44" s="2">
        <v>177.53333333333333</v>
      </c>
    </row>
    <row r="45" spans="2:16" x14ac:dyDescent="0.3">
      <c r="B45" s="8" t="s">
        <v>36</v>
      </c>
      <c r="C45" s="2">
        <v>176.44871794871793</v>
      </c>
      <c r="D45" s="2">
        <v>173.9666666666667</v>
      </c>
      <c r="E45" s="2">
        <v>209.96666666666667</v>
      </c>
      <c r="F45" s="2">
        <v>169.96666666666667</v>
      </c>
      <c r="G45" s="2">
        <v>178.4666666666667</v>
      </c>
      <c r="H45" s="2">
        <v>174.03333333333333</v>
      </c>
      <c r="I45" s="2">
        <v>176.4</v>
      </c>
      <c r="J45" s="2">
        <v>159.36666666666667</v>
      </c>
      <c r="K45" s="2">
        <v>173.63333333333335</v>
      </c>
      <c r="L45" s="2">
        <v>121.59999999999998</v>
      </c>
      <c r="M45" s="2">
        <v>212.06666666666669</v>
      </c>
      <c r="N45" s="2">
        <v>172.19999999999996</v>
      </c>
      <c r="O45" s="2">
        <v>193.66666666666666</v>
      </c>
      <c r="P45" s="2">
        <v>178.5</v>
      </c>
    </row>
    <row r="46" spans="2:16" x14ac:dyDescent="0.3">
      <c r="B46" s="8" t="s">
        <v>37</v>
      </c>
      <c r="C46" s="2">
        <v>177.76153846153849</v>
      </c>
      <c r="D46" s="2">
        <v>173.86666666666665</v>
      </c>
      <c r="E46" s="2">
        <v>215.06666666666669</v>
      </c>
      <c r="F46" s="2">
        <v>173.63333333333333</v>
      </c>
      <c r="G46" s="2">
        <v>179.5</v>
      </c>
      <c r="H46" s="2">
        <v>169.23333333333332</v>
      </c>
      <c r="I46" s="2">
        <v>172.33333333333334</v>
      </c>
      <c r="J46" s="2">
        <v>164.9</v>
      </c>
      <c r="K46" s="2">
        <v>175.79999999999998</v>
      </c>
      <c r="L46" s="2">
        <v>122.93333333333334</v>
      </c>
      <c r="M46" s="2">
        <v>216.96666666666667</v>
      </c>
      <c r="N46" s="2">
        <v>172.66666666666666</v>
      </c>
      <c r="O46" s="2">
        <v>194.33333333333334</v>
      </c>
      <c r="P46" s="2">
        <v>179.66666666666666</v>
      </c>
    </row>
    <row r="47" spans="2:16" x14ac:dyDescent="0.3">
      <c r="B47" s="6" t="s">
        <v>56</v>
      </c>
      <c r="C47" s="2">
        <v>173.86983408748122</v>
      </c>
      <c r="D47" s="2">
        <v>162.92745098039211</v>
      </c>
      <c r="E47" s="2">
        <v>210.4156862745098</v>
      </c>
      <c r="F47" s="2">
        <v>174.57647058823525</v>
      </c>
      <c r="G47" s="2">
        <v>169.82941176470587</v>
      </c>
      <c r="H47" s="2">
        <v>186.7176470588235</v>
      </c>
      <c r="I47" s="2">
        <v>165.96666666666664</v>
      </c>
      <c r="J47" s="2">
        <v>175.46666666666664</v>
      </c>
      <c r="K47" s="2">
        <v>168.19411764705879</v>
      </c>
      <c r="L47" s="2">
        <v>120.82352941176471</v>
      </c>
      <c r="M47" s="2">
        <v>194.91176470588235</v>
      </c>
      <c r="N47" s="2">
        <v>168.39215686274511</v>
      </c>
      <c r="O47" s="2">
        <v>186.821568627451</v>
      </c>
      <c r="P47" s="2">
        <v>175.26470588235298</v>
      </c>
    </row>
  </sheetData>
  <mergeCells count="2">
    <mergeCell ref="A3:A9"/>
    <mergeCell ref="A10:A14"/>
  </mergeCells>
  <conditionalFormatting sqref="F3:F14">
    <cfRule type="colorScale" priority="1">
      <colorScale>
        <cfvo type="min"/>
        <cfvo type="max"/>
        <color rgb="FFFCFCFF"/>
        <color rgb="FF63BE7B"/>
      </colorScale>
    </cfRule>
  </conditionalFormatting>
  <conditionalFormatting sqref="I3:I14">
    <cfRule type="colorScale" priority="3">
      <colorScale>
        <cfvo type="min"/>
        <cfvo type="max"/>
        <color rgb="FFFCFCFF"/>
        <color rgb="FF63BE7B"/>
      </colorScale>
    </cfRule>
  </conditionalFormatting>
  <conditionalFormatting sqref="J3:J14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1417-CB94-43B3-B1DE-B242D4B61421}">
  <dimension ref="A40:U131"/>
  <sheetViews>
    <sheetView showGridLines="0" zoomScale="63" workbookViewId="0">
      <selection activeCell="S52" sqref="S52"/>
    </sheetView>
  </sheetViews>
  <sheetFormatPr defaultRowHeight="14.4" x14ac:dyDescent="0.3"/>
  <cols>
    <col min="2" max="2" width="13.77734375" bestFit="1" customWidth="1"/>
    <col min="3" max="3" width="8" bestFit="1" customWidth="1"/>
    <col min="4" max="4" width="9.21875" bestFit="1" customWidth="1"/>
    <col min="5" max="5" width="8.21875" bestFit="1" customWidth="1"/>
    <col min="6" max="6" width="6.88671875" bestFit="1" customWidth="1"/>
    <col min="7" max="7" width="9.109375" customWidth="1"/>
    <col min="8" max="8" width="10.21875" customWidth="1"/>
    <col min="9" max="9" width="9.88671875" bestFit="1" customWidth="1"/>
    <col min="10" max="10" width="9.44140625" customWidth="1"/>
    <col min="11" max="12" width="10.33203125" customWidth="1"/>
    <col min="13" max="13" width="10.44140625" customWidth="1"/>
  </cols>
  <sheetData>
    <row r="40" spans="1:21" ht="15" thickBot="1" x14ac:dyDescent="0.35"/>
    <row r="41" spans="1:21" ht="15" thickBot="1" x14ac:dyDescent="0.35">
      <c r="A41" s="21" t="s">
        <v>1</v>
      </c>
      <c r="B41" s="31" t="s">
        <v>79</v>
      </c>
      <c r="C41" s="22" t="s">
        <v>90</v>
      </c>
      <c r="D41" s="22" t="s">
        <v>99</v>
      </c>
      <c r="E41" s="22" t="s">
        <v>100</v>
      </c>
      <c r="F41" s="22" t="s">
        <v>101</v>
      </c>
      <c r="G41" s="22" t="s">
        <v>102</v>
      </c>
      <c r="H41" s="22" t="s">
        <v>103</v>
      </c>
      <c r="I41" s="22" t="s">
        <v>104</v>
      </c>
      <c r="J41" s="22" t="s">
        <v>105</v>
      </c>
      <c r="K41" s="22" t="s">
        <v>106</v>
      </c>
      <c r="L41" s="22" t="s">
        <v>1</v>
      </c>
      <c r="M41" s="47" t="s">
        <v>91</v>
      </c>
      <c r="N41" s="22" t="s">
        <v>92</v>
      </c>
      <c r="O41" s="22" t="s">
        <v>93</v>
      </c>
      <c r="P41" s="22" t="s">
        <v>94</v>
      </c>
      <c r="Q41" s="22" t="s">
        <v>95</v>
      </c>
      <c r="R41" s="22" t="s">
        <v>96</v>
      </c>
      <c r="S41" s="22" t="s">
        <v>97</v>
      </c>
      <c r="T41" s="22" t="s">
        <v>98</v>
      </c>
      <c r="U41" s="23" t="s">
        <v>107</v>
      </c>
    </row>
    <row r="42" spans="1:21" x14ac:dyDescent="0.3">
      <c r="A42" s="64">
        <v>2019</v>
      </c>
      <c r="B42" s="18" t="s">
        <v>35</v>
      </c>
      <c r="C42" s="29">
        <f t="shared" ref="C42:K42" si="0">C61/C60-1</f>
        <v>4.0217783089560033E-3</v>
      </c>
      <c r="D42" s="29">
        <f t="shared" si="0"/>
        <v>1.9408608288620233E-3</v>
      </c>
      <c r="E42" s="29">
        <f t="shared" si="0"/>
        <v>9.9805258033105471E-3</v>
      </c>
      <c r="F42" s="29">
        <f t="shared" si="0"/>
        <v>4.1474654377879894E-3</v>
      </c>
      <c r="G42" s="29">
        <f t="shared" si="0"/>
        <v>5.6406124093471011E-3</v>
      </c>
      <c r="H42" s="29">
        <f t="shared" si="0"/>
        <v>4.3615216864552053E-3</v>
      </c>
      <c r="I42" s="29">
        <f t="shared" si="0"/>
        <v>2.2104332449179864E-4</v>
      </c>
      <c r="J42" s="29">
        <f t="shared" si="0"/>
        <v>-5.2238805970150626E-3</v>
      </c>
      <c r="K42" s="30">
        <f t="shared" si="0"/>
        <v>1.4661625125396149E-3</v>
      </c>
      <c r="L42" s="63">
        <v>2020</v>
      </c>
      <c r="M42" s="48">
        <f t="shared" ref="M42:M50" si="1">C74/C72-1</f>
        <v>2.0134774021145496E-2</v>
      </c>
      <c r="N42" s="29">
        <f t="shared" ref="N42:N50" si="2">D74/D72-1</f>
        <v>2.4732373569582577E-3</v>
      </c>
      <c r="O42" s="29">
        <f t="shared" ref="O42:O50" si="3">E74/E72-1</f>
        <v>-2.007299270072993E-2</v>
      </c>
      <c r="P42" s="29">
        <f t="shared" ref="P42:P50" si="4">F74/F72-1</f>
        <v>-5.5273048861376184E-3</v>
      </c>
      <c r="Q42" s="29">
        <f t="shared" ref="Q42:Q50" si="5">G74/G72-1</f>
        <v>5.108556832695843E-4</v>
      </c>
      <c r="R42" s="29">
        <f t="shared" ref="R42:R50" si="6">H74/H72-1</f>
        <v>2.3185717597962174E-4</v>
      </c>
      <c r="S42" s="29">
        <f t="shared" ref="S42:S50" si="7">I74/I72-1</f>
        <v>-6.3789070805864156E-4</v>
      </c>
      <c r="T42" s="29">
        <f t="shared" ref="T42:T50" si="8">J74/J72-1</f>
        <v>1.4718413509953177E-3</v>
      </c>
      <c r="U42" s="30">
        <f t="shared" ref="U42:U50" si="9">K74/K72-1</f>
        <v>1.2618614980808296E-4</v>
      </c>
    </row>
    <row r="43" spans="1:21" x14ac:dyDescent="0.3">
      <c r="A43" s="59"/>
      <c r="B43" s="19" t="s">
        <v>37</v>
      </c>
      <c r="C43" s="9">
        <f t="shared" ref="C43:K43" si="10">C62/C61-1</f>
        <v>1.7572035899858562E-2</v>
      </c>
      <c r="D43" s="9">
        <f t="shared" si="10"/>
        <v>3.5323609845030468E-3</v>
      </c>
      <c r="E43" s="9">
        <f t="shared" si="10"/>
        <v>4.0973728609305926E-3</v>
      </c>
      <c r="F43" s="9">
        <f t="shared" si="10"/>
        <v>5.0481872418544071E-3</v>
      </c>
      <c r="G43" s="9">
        <f t="shared" si="10"/>
        <v>2.1367521367521292E-3</v>
      </c>
      <c r="H43" s="9">
        <f t="shared" si="10"/>
        <v>1.1097708082026703E-2</v>
      </c>
      <c r="I43" s="9">
        <f t="shared" si="10"/>
        <v>8.397790055248544E-3</v>
      </c>
      <c r="J43" s="9">
        <f t="shared" si="10"/>
        <v>0</v>
      </c>
      <c r="K43" s="15">
        <f t="shared" si="10"/>
        <v>3.6985668053626242E-3</v>
      </c>
      <c r="L43" s="61"/>
      <c r="M43" s="49">
        <f t="shared" si="1"/>
        <v>1.2571171857451047E-2</v>
      </c>
      <c r="N43" s="9">
        <f t="shared" si="2"/>
        <v>1.4162910416513075E-3</v>
      </c>
      <c r="O43" s="9">
        <f t="shared" si="3"/>
        <v>-1.4574412140335169E-2</v>
      </c>
      <c r="P43" s="9">
        <f t="shared" si="4"/>
        <v>-4.331864904552174E-3</v>
      </c>
      <c r="Q43" s="9">
        <f t="shared" si="5"/>
        <v>2.2205141344264767E-3</v>
      </c>
      <c r="R43" s="9">
        <f t="shared" si="6"/>
        <v>-2.2335181762170864E-3</v>
      </c>
      <c r="S43" s="9">
        <f t="shared" si="7"/>
        <v>4.9666524762304043E-4</v>
      </c>
      <c r="T43" s="9">
        <f t="shared" si="8"/>
        <v>-7.62677277828816E-3</v>
      </c>
      <c r="U43" s="15">
        <f t="shared" si="9"/>
        <v>-1.3180539814463543E-3</v>
      </c>
    </row>
    <row r="44" spans="1:21" x14ac:dyDescent="0.3">
      <c r="A44" s="59"/>
      <c r="B44" s="19" t="s">
        <v>38</v>
      </c>
      <c r="C44" s="9">
        <f t="shared" ref="C44:K44" si="11">C63/C62-1</f>
        <v>1.2273697892488666E-2</v>
      </c>
      <c r="D44" s="9">
        <f t="shared" si="11"/>
        <v>-1.9302827296469038E-3</v>
      </c>
      <c r="E44" s="9">
        <f t="shared" si="11"/>
        <v>6.9611137782046306E-3</v>
      </c>
      <c r="F44" s="9">
        <f t="shared" si="11"/>
        <v>3.1963470319633647E-3</v>
      </c>
      <c r="G44" s="9">
        <f t="shared" si="11"/>
        <v>-2.132196162046851E-3</v>
      </c>
      <c r="H44" s="9">
        <f t="shared" si="11"/>
        <v>2.8632784538293876E-3</v>
      </c>
      <c r="I44" s="9">
        <f t="shared" si="11"/>
        <v>6.1363138286214536E-3</v>
      </c>
      <c r="J44" s="9">
        <f t="shared" si="11"/>
        <v>7.2518129532386233E-3</v>
      </c>
      <c r="K44" s="15">
        <f t="shared" si="11"/>
        <v>6.1415630277905642E-4</v>
      </c>
      <c r="L44" s="61"/>
      <c r="M44" s="49">
        <f t="shared" si="1"/>
        <v>1.0124938783413029E-2</v>
      </c>
      <c r="N44" s="9">
        <f t="shared" si="2"/>
        <v>-2.9090105681777167E-3</v>
      </c>
      <c r="O44" s="9">
        <f t="shared" si="3"/>
        <v>-1.3268156424581234E-2</v>
      </c>
      <c r="P44" s="9">
        <f t="shared" si="4"/>
        <v>2.42329924410849E-2</v>
      </c>
      <c r="Q44" s="9">
        <f t="shared" si="5"/>
        <v>3.5741639009445825E-2</v>
      </c>
      <c r="R44" s="9">
        <f t="shared" si="6"/>
        <v>3.3843300880853189E-2</v>
      </c>
      <c r="S44" s="9">
        <f t="shared" si="7"/>
        <v>1.4893617021276562E-3</v>
      </c>
      <c r="T44" s="9">
        <f t="shared" si="8"/>
        <v>5.5847772277227925E-2</v>
      </c>
      <c r="U44" s="15">
        <f t="shared" si="9"/>
        <v>1.4408640137273165E-2</v>
      </c>
    </row>
    <row r="45" spans="1:21" x14ac:dyDescent="0.3">
      <c r="A45" s="59"/>
      <c r="B45" s="19" t="s">
        <v>39</v>
      </c>
      <c r="C45" s="9">
        <f t="shared" ref="C45:K45" si="12">C64/C63-1</f>
        <v>1.2876953554919801E-2</v>
      </c>
      <c r="D45" s="9">
        <f t="shared" si="12"/>
        <v>5.3469852104663929E-3</v>
      </c>
      <c r="E45" s="9">
        <f t="shared" si="12"/>
        <v>-1.5256257449344446E-2</v>
      </c>
      <c r="F45" s="9">
        <f t="shared" si="12"/>
        <v>3.4137460172962708E-3</v>
      </c>
      <c r="G45" s="9">
        <f t="shared" si="12"/>
        <v>8.0128205128204844E-3</v>
      </c>
      <c r="H45" s="9">
        <f t="shared" si="12"/>
        <v>6.4239828693790635E-3</v>
      </c>
      <c r="I45" s="9">
        <f t="shared" si="12"/>
        <v>9.5839686342844566E-3</v>
      </c>
      <c r="J45" s="9">
        <f t="shared" si="12"/>
        <v>1.0178748758689071E-2</v>
      </c>
      <c r="K45" s="15">
        <f t="shared" si="12"/>
        <v>1.534448365812624E-3</v>
      </c>
      <c r="L45" s="61"/>
      <c r="M45" s="49">
        <f t="shared" si="1"/>
        <v>2.652579759684115E-2</v>
      </c>
      <c r="N45" s="9">
        <f t="shared" si="2"/>
        <v>-9.7155436400087059E-4</v>
      </c>
      <c r="O45" s="9">
        <f t="shared" si="3"/>
        <v>-3.0494777769307091E-2</v>
      </c>
      <c r="P45" s="9">
        <f t="shared" si="4"/>
        <v>1.9172627387360697E-2</v>
      </c>
      <c r="Q45" s="9">
        <f t="shared" si="5"/>
        <v>3.7153813378781653E-2</v>
      </c>
      <c r="R45" s="9">
        <f t="shared" si="6"/>
        <v>3.280586646082595E-2</v>
      </c>
      <c r="S45" s="9">
        <f t="shared" si="7"/>
        <v>1.4183391248847599E-3</v>
      </c>
      <c r="T45" s="9">
        <f t="shared" si="8"/>
        <v>5.2563937797198257E-2</v>
      </c>
      <c r="U45" s="15">
        <f t="shared" si="9"/>
        <v>1.3803191042216501E-2</v>
      </c>
    </row>
    <row r="46" spans="1:21" x14ac:dyDescent="0.3">
      <c r="A46" s="59"/>
      <c r="B46" s="19" t="s">
        <v>40</v>
      </c>
      <c r="C46" s="9">
        <f t="shared" ref="C46:K46" si="13">C65/C64-1</f>
        <v>5.1251403527836636E-3</v>
      </c>
      <c r="D46" s="9">
        <f t="shared" si="13"/>
        <v>4.4132624193728986E-3</v>
      </c>
      <c r="E46" s="9">
        <f t="shared" si="13"/>
        <v>-6.5359477124184995E-3</v>
      </c>
      <c r="F46" s="9">
        <f t="shared" si="13"/>
        <v>4.0825584032659901E-3</v>
      </c>
      <c r="G46" s="9">
        <f t="shared" si="13"/>
        <v>1.5898251192369983E-3</v>
      </c>
      <c r="H46" s="9">
        <f t="shared" si="13"/>
        <v>3.0732860520095162E-3</v>
      </c>
      <c r="I46" s="9">
        <f t="shared" si="13"/>
        <v>5.6094929881336242E-3</v>
      </c>
      <c r="J46" s="9">
        <f t="shared" si="13"/>
        <v>1.9906610960924276E-2</v>
      </c>
      <c r="K46" s="15">
        <f t="shared" si="13"/>
        <v>1.4554925693273102E-3</v>
      </c>
      <c r="L46" s="61"/>
      <c r="M46" s="49">
        <f t="shared" si="1"/>
        <v>1.4527804086050589E-2</v>
      </c>
      <c r="N46" s="9">
        <f t="shared" si="2"/>
        <v>9.638821183248325E-3</v>
      </c>
      <c r="O46" s="9">
        <f t="shared" si="3"/>
        <v>7.5489502241097295E-3</v>
      </c>
      <c r="P46" s="9">
        <f t="shared" si="4"/>
        <v>3.9070978945083823E-3</v>
      </c>
      <c r="Q46" s="9">
        <f t="shared" si="5"/>
        <v>2.5388217894996012E-2</v>
      </c>
      <c r="R46" s="9">
        <f t="shared" si="6"/>
        <v>-1.479820627802686E-2</v>
      </c>
      <c r="S46" s="9">
        <f t="shared" si="7"/>
        <v>1.2746972594009032E-2</v>
      </c>
      <c r="T46" s="9">
        <f t="shared" si="8"/>
        <v>1.7802197802197828E-2</v>
      </c>
      <c r="U46" s="15">
        <f t="shared" si="9"/>
        <v>-7.4626865671723053E-5</v>
      </c>
    </row>
    <row r="47" spans="1:21" x14ac:dyDescent="0.3">
      <c r="A47" s="59"/>
      <c r="B47" s="19" t="s">
        <v>41</v>
      </c>
      <c r="C47" s="9">
        <f t="shared" ref="C47:K47" si="14">C66/C65-1</f>
        <v>5.6215203329668118E-3</v>
      </c>
      <c r="D47" s="9">
        <f t="shared" si="14"/>
        <v>2.4785939612439467E-3</v>
      </c>
      <c r="E47" s="9">
        <f t="shared" si="14"/>
        <v>5.6042884990252784E-3</v>
      </c>
      <c r="F47" s="9">
        <f t="shared" si="14"/>
        <v>3.614185678789239E-3</v>
      </c>
      <c r="G47" s="9">
        <f t="shared" si="14"/>
        <v>2.3809523809523725E-3</v>
      </c>
      <c r="H47" s="9">
        <f t="shared" si="14"/>
        <v>2.8281876031110986E-3</v>
      </c>
      <c r="I47" s="9">
        <f t="shared" si="14"/>
        <v>1.9309161124223539E-3</v>
      </c>
      <c r="J47" s="9">
        <f t="shared" si="14"/>
        <v>9.3975903614456069E-3</v>
      </c>
      <c r="K47" s="15">
        <f t="shared" si="14"/>
        <v>3.8246768148075816E-4</v>
      </c>
      <c r="L47" s="61"/>
      <c r="M47" s="49">
        <f t="shared" si="1"/>
        <v>2.0836152076850079E-2</v>
      </c>
      <c r="N47" s="9">
        <f t="shared" si="2"/>
        <v>1.329492576999769E-2</v>
      </c>
      <c r="O47" s="9">
        <f t="shared" si="3"/>
        <v>6.1335220570890581E-3</v>
      </c>
      <c r="P47" s="9">
        <f t="shared" si="4"/>
        <v>8.6824397655742569E-3</v>
      </c>
      <c r="Q47" s="9">
        <f t="shared" si="5"/>
        <v>3.3522307123490025E-2</v>
      </c>
      <c r="R47" s="9">
        <f t="shared" si="6"/>
        <v>-1.0762331838565009E-2</v>
      </c>
      <c r="S47" s="9">
        <f t="shared" si="7"/>
        <v>5.9485872105375925E-3</v>
      </c>
      <c r="T47" s="9">
        <f t="shared" si="8"/>
        <v>4.5274725274725425E-2</v>
      </c>
      <c r="U47" s="15">
        <f t="shared" si="9"/>
        <v>3.1343283582088155E-3</v>
      </c>
    </row>
    <row r="48" spans="1:21" x14ac:dyDescent="0.3">
      <c r="A48" s="59"/>
      <c r="B48" s="19" t="s">
        <v>42</v>
      </c>
      <c r="C48" s="9">
        <f t="shared" ref="C48:K48" si="15">C67/C66-1</f>
        <v>1.5014423163062451E-2</v>
      </c>
      <c r="D48" s="9">
        <f t="shared" si="15"/>
        <v>3.9334681951002093E-3</v>
      </c>
      <c r="E48" s="9">
        <f t="shared" si="15"/>
        <v>1.0903804216137791E-2</v>
      </c>
      <c r="F48" s="9">
        <f t="shared" si="15"/>
        <v>2.7008777852801646E-3</v>
      </c>
      <c r="G48" s="9">
        <f t="shared" si="15"/>
        <v>1.5835312747427555E-3</v>
      </c>
      <c r="H48" s="9">
        <f t="shared" si="15"/>
        <v>2.5851938895415927E-3</v>
      </c>
      <c r="I48" s="9">
        <f t="shared" si="15"/>
        <v>1.7130620985010836E-3</v>
      </c>
      <c r="J48" s="9">
        <f t="shared" si="15"/>
        <v>2.1484841250896114E-3</v>
      </c>
      <c r="K48" s="15">
        <f t="shared" si="15"/>
        <v>1.6822144058723509E-3</v>
      </c>
      <c r="L48" s="61"/>
      <c r="M48" s="49">
        <f t="shared" si="1"/>
        <v>2.6839148482171282E-2</v>
      </c>
      <c r="N48" s="9">
        <f t="shared" si="2"/>
        <v>4.3893339185778757E-3</v>
      </c>
      <c r="O48" s="9">
        <f t="shared" si="3"/>
        <v>-2.3413720440179642E-4</v>
      </c>
      <c r="P48" s="9">
        <f t="shared" si="4"/>
        <v>9.2972972972973356E-3</v>
      </c>
      <c r="Q48" s="9">
        <f t="shared" si="5"/>
        <v>1.538461538461533E-2</v>
      </c>
      <c r="R48" s="9">
        <f t="shared" si="6"/>
        <v>3.4137460172962708E-3</v>
      </c>
      <c r="S48" s="9">
        <f t="shared" si="7"/>
        <v>0</v>
      </c>
      <c r="T48" s="9">
        <f t="shared" si="8"/>
        <v>1.7706758799395317E-2</v>
      </c>
      <c r="U48" s="15">
        <f t="shared" si="9"/>
        <v>5.1496380326889746E-3</v>
      </c>
    </row>
    <row r="49" spans="1:21" x14ac:dyDescent="0.3">
      <c r="A49" s="59"/>
      <c r="B49" s="19" t="s">
        <v>44</v>
      </c>
      <c r="C49" s="9">
        <f t="shared" ref="C49:K49" si="16">C68/C67-1</f>
        <v>1.3133042664736694E-2</v>
      </c>
      <c r="D49" s="9">
        <f t="shared" si="16"/>
        <v>2.7986118885032774E-3</v>
      </c>
      <c r="E49" s="9">
        <f t="shared" si="16"/>
        <v>1.366251198465962E-2</v>
      </c>
      <c r="F49" s="9">
        <f t="shared" si="16"/>
        <v>3.3670033670034627E-3</v>
      </c>
      <c r="G49" s="9">
        <f t="shared" si="16"/>
        <v>2.3715415019762709E-3</v>
      </c>
      <c r="H49" s="9">
        <f t="shared" si="16"/>
        <v>3.0473511486170946E-3</v>
      </c>
      <c r="I49" s="9">
        <f t="shared" si="16"/>
        <v>6.4129970072679399E-4</v>
      </c>
      <c r="J49" s="9">
        <f t="shared" si="16"/>
        <v>2.1438780371605404E-3</v>
      </c>
      <c r="K49" s="15">
        <f t="shared" si="16"/>
        <v>2.5954198473281398E-3</v>
      </c>
      <c r="L49" s="61"/>
      <c r="M49" s="49">
        <f t="shared" si="1"/>
        <v>4.352220013253838E-2</v>
      </c>
      <c r="N49" s="9">
        <f t="shared" si="2"/>
        <v>7.1069319921275298E-3</v>
      </c>
      <c r="O49" s="9">
        <f t="shared" si="3"/>
        <v>4.4548651817115648E-3</v>
      </c>
      <c r="P49" s="9">
        <f t="shared" si="4"/>
        <v>1.0544437271357898E-2</v>
      </c>
      <c r="Q49" s="9">
        <f t="shared" si="5"/>
        <v>5.7238254233249464E-3</v>
      </c>
      <c r="R49" s="9">
        <f t="shared" si="6"/>
        <v>1.1786038077969074E-2</v>
      </c>
      <c r="S49" s="9">
        <f t="shared" si="7"/>
        <v>6.5469904963040282E-3</v>
      </c>
      <c r="T49" s="9">
        <f t="shared" si="8"/>
        <v>-9.671993271656798E-3</v>
      </c>
      <c r="U49" s="15">
        <f t="shared" si="9"/>
        <v>5.1331647076331421E-3</v>
      </c>
    </row>
    <row r="50" spans="1:21" x14ac:dyDescent="0.3">
      <c r="A50" s="59"/>
      <c r="B50" s="19" t="s">
        <v>45</v>
      </c>
      <c r="C50" s="9">
        <f t="shared" ref="C50:K50" si="17">C69/C68-1</f>
        <v>1.8172314661555999E-2</v>
      </c>
      <c r="D50" s="9">
        <f t="shared" si="17"/>
        <v>-6.6979236436703893E-4</v>
      </c>
      <c r="E50" s="9">
        <f t="shared" si="17"/>
        <v>1.0167888389690072E-2</v>
      </c>
      <c r="F50" s="9">
        <f t="shared" si="17"/>
        <v>3.1319910514540084E-3</v>
      </c>
      <c r="G50" s="9">
        <f t="shared" si="17"/>
        <v>2.5236593059936974E-2</v>
      </c>
      <c r="H50" s="9">
        <f t="shared" si="17"/>
        <v>1.6358962374387609E-3</v>
      </c>
      <c r="I50" s="9">
        <f t="shared" si="17"/>
        <v>1.2817773979920677E-3</v>
      </c>
      <c r="J50" s="9">
        <f t="shared" si="17"/>
        <v>1.1884953648679808E-3</v>
      </c>
      <c r="K50" s="15">
        <f t="shared" si="17"/>
        <v>2.4364245469774559E-3</v>
      </c>
      <c r="L50" s="61"/>
      <c r="M50" s="49">
        <f t="shared" si="1"/>
        <v>2.8459178206730718E-2</v>
      </c>
      <c r="N50" s="9">
        <f t="shared" si="2"/>
        <v>9.2865727084017191E-3</v>
      </c>
      <c r="O50" s="9">
        <f t="shared" si="3"/>
        <v>9.8360655737703695E-3</v>
      </c>
      <c r="P50" s="9">
        <f t="shared" si="4"/>
        <v>1.2853470437018233E-2</v>
      </c>
      <c r="Q50" s="9">
        <f t="shared" si="5"/>
        <v>4.7348484848508399E-4</v>
      </c>
      <c r="R50" s="9">
        <f t="shared" si="6"/>
        <v>1.3154910410523968E-2</v>
      </c>
      <c r="S50" s="9">
        <f t="shared" si="7"/>
        <v>5.2443885043005345E-3</v>
      </c>
      <c r="T50" s="9">
        <f t="shared" si="8"/>
        <v>6.3653723742862489E-4</v>
      </c>
      <c r="U50" s="15">
        <f t="shared" si="9"/>
        <v>7.6477576477578246E-3</v>
      </c>
    </row>
    <row r="51" spans="1:21" x14ac:dyDescent="0.3">
      <c r="A51" s="59">
        <v>2020</v>
      </c>
      <c r="B51" s="19" t="s">
        <v>31</v>
      </c>
      <c r="C51" s="9">
        <f t="shared" ref="C51:K51" si="18">C71/C69-1</f>
        <v>-3.3197576919128391E-3</v>
      </c>
      <c r="D51" s="9">
        <f t="shared" si="18"/>
        <v>5.0268096514745064E-3</v>
      </c>
      <c r="E51" s="9">
        <f t="shared" si="18"/>
        <v>6.7883895131088945E-3</v>
      </c>
      <c r="F51" s="9">
        <f t="shared" si="18"/>
        <v>5.129348795718025E-3</v>
      </c>
      <c r="G51" s="9">
        <f t="shared" si="18"/>
        <v>8.4615384615385203E-3</v>
      </c>
      <c r="H51" s="9">
        <f t="shared" si="18"/>
        <v>3.4997666822211837E-3</v>
      </c>
      <c r="I51" s="9">
        <f t="shared" si="18"/>
        <v>2.5602730957967612E-3</v>
      </c>
      <c r="J51" s="9">
        <f t="shared" si="18"/>
        <v>1.3532763532763337E-2</v>
      </c>
      <c r="K51" s="15">
        <f t="shared" si="18"/>
        <v>1.5190642564177903E-3</v>
      </c>
      <c r="L51" s="61">
        <v>2021</v>
      </c>
      <c r="M51" s="49">
        <f t="shared" ref="M51:U53" si="19">C84/C82-1</f>
        <v>-1.512233622730863E-2</v>
      </c>
      <c r="N51" s="9">
        <f t="shared" si="19"/>
        <v>-1.1907339250920579E-3</v>
      </c>
      <c r="O51" s="9">
        <f t="shared" si="19"/>
        <v>2.4350649350649567E-2</v>
      </c>
      <c r="P51" s="9">
        <f t="shared" si="19"/>
        <v>6.5566835871402329E-3</v>
      </c>
      <c r="Q51" s="9">
        <f t="shared" si="19"/>
        <v>8.7553241836251239E-3</v>
      </c>
      <c r="R51" s="9">
        <f t="shared" si="19"/>
        <v>7.6113722856503419E-3</v>
      </c>
      <c r="S51" s="9">
        <f t="shared" si="19"/>
        <v>-8.3472454090161019E-4</v>
      </c>
      <c r="T51" s="9">
        <f t="shared" si="19"/>
        <v>-1.9083969465649719E-3</v>
      </c>
      <c r="U51" s="15">
        <f t="shared" si="19"/>
        <v>3.979073023358648E-3</v>
      </c>
    </row>
    <row r="52" spans="1:21" x14ac:dyDescent="0.3">
      <c r="A52" s="59"/>
      <c r="B52" s="19" t="s">
        <v>34</v>
      </c>
      <c r="C52" s="9">
        <f t="shared" ref="C52:K52" si="20">C72/C70-1</f>
        <v>-3.7223343322510094E-2</v>
      </c>
      <c r="D52" s="9">
        <f t="shared" si="20"/>
        <v>-6.3192730696259858E-3</v>
      </c>
      <c r="E52" s="9">
        <f t="shared" si="20"/>
        <v>1.8147099238118525E-2</v>
      </c>
      <c r="F52" s="9">
        <f t="shared" si="20"/>
        <v>-1.6139070326708693E-2</v>
      </c>
      <c r="G52" s="9">
        <f t="shared" si="20"/>
        <v>-3.558891755222704E-2</v>
      </c>
      <c r="H52" s="9">
        <f t="shared" si="20"/>
        <v>-1.6799539010011189E-2</v>
      </c>
      <c r="I52" s="9">
        <f t="shared" si="20"/>
        <v>-5.3811448444401888E-3</v>
      </c>
      <c r="J52" s="9">
        <f t="shared" si="20"/>
        <v>-4.7062080278874041E-2</v>
      </c>
      <c r="K52" s="15">
        <f t="shared" si="20"/>
        <v>-1.0928253219851358E-2</v>
      </c>
      <c r="L52" s="61"/>
      <c r="M52" s="49">
        <f t="shared" si="19"/>
        <v>-3.7606338931921002E-2</v>
      </c>
      <c r="N52" s="9">
        <f t="shared" si="19"/>
        <v>-1.8800358102059045E-2</v>
      </c>
      <c r="O52" s="9">
        <f t="shared" si="19"/>
        <v>-4.2478340771856193E-2</v>
      </c>
      <c r="P52" s="9">
        <f t="shared" si="19"/>
        <v>-2.7250706499797994E-2</v>
      </c>
      <c r="Q52" s="9">
        <f t="shared" si="19"/>
        <v>-3.6053970360539367E-2</v>
      </c>
      <c r="R52" s="9">
        <f t="shared" si="19"/>
        <v>-2.5721410758817287E-2</v>
      </c>
      <c r="S52" s="9">
        <f t="shared" si="19"/>
        <v>-1.6218618084869907E-2</v>
      </c>
      <c r="T52" s="9">
        <f t="shared" si="19"/>
        <v>-1.7884016379099199E-2</v>
      </c>
      <c r="U52" s="15">
        <f t="shared" si="19"/>
        <v>-3.0946106941012852E-2</v>
      </c>
    </row>
    <row r="53" spans="1:21" ht="15" thickBot="1" x14ac:dyDescent="0.35">
      <c r="A53" s="60"/>
      <c r="B53" s="20" t="s">
        <v>35</v>
      </c>
      <c r="C53" s="16">
        <f t="shared" ref="C53:K53" si="21">C73/C71-1</f>
        <v>-2.3332875489320726E-2</v>
      </c>
      <c r="D53" s="16">
        <f t="shared" si="21"/>
        <v>2.7787040124485074E-3</v>
      </c>
      <c r="E53" s="16">
        <f t="shared" si="21"/>
        <v>3.1620553359683834E-2</v>
      </c>
      <c r="F53" s="16">
        <f t="shared" si="21"/>
        <v>7.3219436432219176E-3</v>
      </c>
      <c r="G53" s="16">
        <f t="shared" si="21"/>
        <v>-7.6277650648359785E-3</v>
      </c>
      <c r="H53" s="16">
        <f t="shared" si="21"/>
        <v>6.2776098581724948E-3</v>
      </c>
      <c r="I53" s="16">
        <f t="shared" si="21"/>
        <v>-2.1281123643324129E-4</v>
      </c>
      <c r="J53" s="16">
        <f t="shared" si="21"/>
        <v>2.0379479971890602E-2</v>
      </c>
      <c r="K53" s="17">
        <f t="shared" si="21"/>
        <v>3.7160624905203665E-3</v>
      </c>
      <c r="L53" s="62"/>
      <c r="M53" s="50">
        <f t="shared" si="19"/>
        <v>-1.7566354660853989E-2</v>
      </c>
      <c r="N53" s="16">
        <f t="shared" si="19"/>
        <v>1.1054513926520126E-2</v>
      </c>
      <c r="O53" s="16">
        <f t="shared" si="19"/>
        <v>5.5693909893592908E-2</v>
      </c>
      <c r="P53" s="16">
        <f t="shared" si="19"/>
        <v>1.533935700777489E-2</v>
      </c>
      <c r="Q53" s="16">
        <f t="shared" si="19"/>
        <v>3.0260380014074606E-2</v>
      </c>
      <c r="R53" s="16">
        <f t="shared" si="19"/>
        <v>1.9773383692512692E-2</v>
      </c>
      <c r="S53" s="16">
        <f t="shared" si="19"/>
        <v>5.8479532163742132E-3</v>
      </c>
      <c r="T53" s="16">
        <f t="shared" si="19"/>
        <v>-1.8908009347779697E-2</v>
      </c>
      <c r="U53" s="17">
        <f t="shared" si="19"/>
        <v>1.3871559633027442E-2</v>
      </c>
    </row>
    <row r="57" spans="1:21" x14ac:dyDescent="0.3">
      <c r="B57" s="5" t="s">
        <v>57</v>
      </c>
      <c r="C57" t="s">
        <v>65</v>
      </c>
      <c r="D57" t="s">
        <v>82</v>
      </c>
      <c r="E57" t="s">
        <v>83</v>
      </c>
      <c r="F57" t="s">
        <v>84</v>
      </c>
      <c r="G57" t="s">
        <v>85</v>
      </c>
      <c r="H57" t="s">
        <v>86</v>
      </c>
      <c r="I57" t="s">
        <v>87</v>
      </c>
      <c r="J57" t="s">
        <v>88</v>
      </c>
      <c r="K57" t="s">
        <v>89</v>
      </c>
    </row>
    <row r="58" spans="1:21" x14ac:dyDescent="0.3">
      <c r="B58" s="6">
        <v>2019</v>
      </c>
      <c r="C58" s="2">
        <v>141.16503496503495</v>
      </c>
      <c r="D58" s="2">
        <v>147.45000000000005</v>
      </c>
      <c r="E58" s="2">
        <v>138.77575757575758</v>
      </c>
      <c r="F58" s="2">
        <v>146.92424242424244</v>
      </c>
      <c r="G58" s="2">
        <v>125.78787878787878</v>
      </c>
      <c r="H58" s="2">
        <v>140.42424242424244</v>
      </c>
      <c r="I58" s="2">
        <v>153.74242424242422</v>
      </c>
      <c r="J58" s="2">
        <v>136.51818181818183</v>
      </c>
      <c r="K58" s="2">
        <v>144.98282828282831</v>
      </c>
      <c r="L58" s="2"/>
    </row>
    <row r="59" spans="1:21" x14ac:dyDescent="0.3">
      <c r="B59" s="8" t="s">
        <v>31</v>
      </c>
      <c r="C59" s="2">
        <v>134.80256410256411</v>
      </c>
      <c r="D59" s="2">
        <v>145.51666666666665</v>
      </c>
      <c r="E59" s="2">
        <v>138.1</v>
      </c>
      <c r="F59" s="2">
        <v>144.16666666666666</v>
      </c>
      <c r="G59" s="2">
        <v>123.5</v>
      </c>
      <c r="H59" s="2">
        <v>137.16666666666666</v>
      </c>
      <c r="I59" s="2">
        <v>150.66666666666666</v>
      </c>
      <c r="J59" s="2">
        <v>132.66666666666666</v>
      </c>
      <c r="K59" s="2">
        <v>143.67777777777778</v>
      </c>
      <c r="L59" s="2"/>
    </row>
    <row r="60" spans="1:21" x14ac:dyDescent="0.3">
      <c r="B60" s="8" t="s">
        <v>34</v>
      </c>
      <c r="C60" s="2">
        <v>135.16153846153847</v>
      </c>
      <c r="D60" s="2">
        <v>145.98333333333332</v>
      </c>
      <c r="E60" s="2">
        <v>136.93333333333334</v>
      </c>
      <c r="F60" s="2">
        <v>144.66666666666666</v>
      </c>
      <c r="G60" s="2">
        <v>124.10000000000001</v>
      </c>
      <c r="H60" s="2">
        <v>137.56666666666663</v>
      </c>
      <c r="I60" s="2">
        <v>150.79999999999998</v>
      </c>
      <c r="J60" s="2">
        <v>134</v>
      </c>
      <c r="K60" s="2">
        <v>143.98888888888891</v>
      </c>
      <c r="L60" s="2"/>
    </row>
    <row r="61" spans="1:21" x14ac:dyDescent="0.3">
      <c r="B61" s="8" t="s">
        <v>35</v>
      </c>
      <c r="C61" s="2">
        <v>135.7051282051282</v>
      </c>
      <c r="D61" s="2">
        <v>146.26666666666668</v>
      </c>
      <c r="E61" s="2">
        <v>138.29999999999998</v>
      </c>
      <c r="F61" s="2">
        <v>145.26666666666665</v>
      </c>
      <c r="G61" s="2">
        <v>124.8</v>
      </c>
      <c r="H61" s="2">
        <v>138.16666666666666</v>
      </c>
      <c r="I61" s="2">
        <v>150.83333333333334</v>
      </c>
      <c r="J61" s="2">
        <v>133.29999999999998</v>
      </c>
      <c r="K61" s="2">
        <v>144.20000000000002</v>
      </c>
      <c r="L61" s="2"/>
    </row>
    <row r="62" spans="1:21" x14ac:dyDescent="0.3">
      <c r="B62" s="8" t="s">
        <v>37</v>
      </c>
      <c r="C62" s="2">
        <v>138.08974358974362</v>
      </c>
      <c r="D62" s="2">
        <v>146.78333333333333</v>
      </c>
      <c r="E62" s="2">
        <v>138.86666666666667</v>
      </c>
      <c r="F62" s="2">
        <v>146.00000000000003</v>
      </c>
      <c r="G62" s="2">
        <v>125.06666666666666</v>
      </c>
      <c r="H62" s="2">
        <v>139.70000000000002</v>
      </c>
      <c r="I62" s="2">
        <v>152.1</v>
      </c>
      <c r="J62" s="2">
        <v>133.29999999999998</v>
      </c>
      <c r="K62" s="2">
        <v>144.73333333333332</v>
      </c>
      <c r="L62" s="2"/>
    </row>
    <row r="63" spans="1:21" x14ac:dyDescent="0.3">
      <c r="B63" s="8" t="s">
        <v>38</v>
      </c>
      <c r="C63" s="2">
        <v>139.78461538461536</v>
      </c>
      <c r="D63" s="2">
        <v>146.5</v>
      </c>
      <c r="E63" s="2">
        <v>139.83333333333334</v>
      </c>
      <c r="F63" s="2">
        <v>146.46666666666667</v>
      </c>
      <c r="G63" s="2">
        <v>124.8</v>
      </c>
      <c r="H63" s="2">
        <v>140.1</v>
      </c>
      <c r="I63" s="2">
        <v>153.03333333333333</v>
      </c>
      <c r="J63" s="2">
        <v>134.26666666666668</v>
      </c>
      <c r="K63" s="2">
        <v>144.82222222222222</v>
      </c>
      <c r="L63" s="2"/>
    </row>
    <row r="64" spans="1:21" x14ac:dyDescent="0.3">
      <c r="B64" s="8" t="s">
        <v>39</v>
      </c>
      <c r="C64" s="2">
        <v>141.58461538461538</v>
      </c>
      <c r="D64" s="2">
        <v>147.28333333333333</v>
      </c>
      <c r="E64" s="2">
        <v>137.70000000000002</v>
      </c>
      <c r="F64" s="2">
        <v>146.96666666666667</v>
      </c>
      <c r="G64" s="2">
        <v>125.8</v>
      </c>
      <c r="H64" s="2">
        <v>141</v>
      </c>
      <c r="I64" s="2">
        <v>154.5</v>
      </c>
      <c r="J64" s="2">
        <v>135.63333333333333</v>
      </c>
      <c r="K64" s="2">
        <v>145.04444444444445</v>
      </c>
      <c r="L64" s="2"/>
    </row>
    <row r="65" spans="2:12" x14ac:dyDescent="0.3">
      <c r="B65" s="8" t="s">
        <v>40</v>
      </c>
      <c r="C65" s="2">
        <v>142.31025641025641</v>
      </c>
      <c r="D65" s="2">
        <v>147.93333333333331</v>
      </c>
      <c r="E65" s="2">
        <v>136.79999999999998</v>
      </c>
      <c r="F65" s="2">
        <v>147.56666666666666</v>
      </c>
      <c r="G65" s="2">
        <v>126</v>
      </c>
      <c r="H65" s="2">
        <v>141.43333333333334</v>
      </c>
      <c r="I65" s="2">
        <v>155.36666666666665</v>
      </c>
      <c r="J65" s="2">
        <v>138.33333333333334</v>
      </c>
      <c r="K65" s="2">
        <v>145.25555555555556</v>
      </c>
      <c r="L65" s="2"/>
    </row>
    <row r="66" spans="2:12" x14ac:dyDescent="0.3">
      <c r="B66" s="8" t="s">
        <v>41</v>
      </c>
      <c r="C66" s="2">
        <v>143.1102564102564</v>
      </c>
      <c r="D66" s="2">
        <v>148.29999999999998</v>
      </c>
      <c r="E66" s="2">
        <v>137.56666666666663</v>
      </c>
      <c r="F66" s="2">
        <v>148.1</v>
      </c>
      <c r="G66" s="2">
        <v>126.3</v>
      </c>
      <c r="H66" s="2">
        <v>141.83333333333334</v>
      </c>
      <c r="I66" s="2">
        <v>155.66666666666666</v>
      </c>
      <c r="J66" s="2">
        <v>139.63333333333333</v>
      </c>
      <c r="K66" s="2">
        <v>145.3111111111111</v>
      </c>
      <c r="L66" s="2"/>
    </row>
    <row r="67" spans="2:12" x14ac:dyDescent="0.3">
      <c r="B67" s="8" t="s">
        <v>42</v>
      </c>
      <c r="C67" s="2">
        <v>145.25897435897434</v>
      </c>
      <c r="D67" s="2">
        <v>148.88333333333335</v>
      </c>
      <c r="E67" s="2">
        <v>139.06666666666666</v>
      </c>
      <c r="F67" s="2">
        <v>148.5</v>
      </c>
      <c r="G67" s="2">
        <v>126.5</v>
      </c>
      <c r="H67" s="2">
        <v>142.19999999999999</v>
      </c>
      <c r="I67" s="2">
        <v>155.93333333333334</v>
      </c>
      <c r="J67" s="2">
        <v>139.93333333333334</v>
      </c>
      <c r="K67" s="2">
        <v>145.55555555555554</v>
      </c>
      <c r="L67" s="2"/>
    </row>
    <row r="68" spans="2:12" x14ac:dyDescent="0.3">
      <c r="B68" s="8" t="s">
        <v>44</v>
      </c>
      <c r="C68" s="2">
        <v>147.16666666666666</v>
      </c>
      <c r="D68" s="2">
        <v>149.30000000000001</v>
      </c>
      <c r="E68" s="2">
        <v>140.96666666666667</v>
      </c>
      <c r="F68" s="2">
        <v>149.00000000000003</v>
      </c>
      <c r="G68" s="2">
        <v>126.8</v>
      </c>
      <c r="H68" s="2">
        <v>142.63333333333333</v>
      </c>
      <c r="I68" s="2">
        <v>156.03333333333333</v>
      </c>
      <c r="J68" s="2">
        <v>140.23333333333335</v>
      </c>
      <c r="K68" s="2">
        <v>145.93333333333331</v>
      </c>
      <c r="L68" s="2"/>
    </row>
    <row r="69" spans="2:12" x14ac:dyDescent="0.3">
      <c r="B69" s="8" t="s">
        <v>45</v>
      </c>
      <c r="C69" s="2">
        <v>149.84102564102565</v>
      </c>
      <c r="D69" s="2">
        <v>149.20000000000002</v>
      </c>
      <c r="E69" s="2">
        <v>142.39999999999998</v>
      </c>
      <c r="F69" s="2">
        <v>149.46666666666667</v>
      </c>
      <c r="G69" s="2">
        <v>130</v>
      </c>
      <c r="H69" s="2">
        <v>142.86666666666667</v>
      </c>
      <c r="I69" s="2">
        <v>156.23333333333335</v>
      </c>
      <c r="J69" s="2">
        <v>140.4</v>
      </c>
      <c r="K69" s="2">
        <v>146.28888888888889</v>
      </c>
      <c r="L69" s="2"/>
    </row>
    <row r="70" spans="2:12" x14ac:dyDescent="0.3">
      <c r="B70" s="6">
        <v>2020</v>
      </c>
      <c r="C70" s="2">
        <v>152.81654795821456</v>
      </c>
      <c r="D70" s="2">
        <v>151.45709876543211</v>
      </c>
      <c r="E70" s="2">
        <v>143.52870370370374</v>
      </c>
      <c r="F70" s="2">
        <v>153.23981481481479</v>
      </c>
      <c r="G70" s="2">
        <v>135.31574074074075</v>
      </c>
      <c r="H70" s="2">
        <v>146.22314814814811</v>
      </c>
      <c r="I70" s="2">
        <v>157.61481481481479</v>
      </c>
      <c r="J70" s="2">
        <v>150.51697530864192</v>
      </c>
      <c r="K70" s="2">
        <v>148.37705761316874</v>
      </c>
      <c r="L70" s="2"/>
    </row>
    <row r="71" spans="2:12" x14ac:dyDescent="0.3">
      <c r="B71" s="8" t="s">
        <v>31</v>
      </c>
      <c r="C71" s="2">
        <v>149.34358974358975</v>
      </c>
      <c r="D71" s="2">
        <v>149.95000000000002</v>
      </c>
      <c r="E71" s="2">
        <v>143.36666666666667</v>
      </c>
      <c r="F71" s="2">
        <v>150.23333333333332</v>
      </c>
      <c r="G71" s="2">
        <v>131.1</v>
      </c>
      <c r="H71" s="2">
        <v>143.36666666666667</v>
      </c>
      <c r="I71" s="2">
        <v>156.63333333333333</v>
      </c>
      <c r="J71" s="2">
        <v>142.29999999999998</v>
      </c>
      <c r="K71" s="2">
        <v>146.51111111111109</v>
      </c>
      <c r="L71" s="2"/>
    </row>
    <row r="72" spans="2:12" x14ac:dyDescent="0.3">
      <c r="B72" s="8" t="s">
        <v>34</v>
      </c>
      <c r="C72" s="2">
        <v>147.12820512820511</v>
      </c>
      <c r="D72" s="2">
        <v>150.50000000000003</v>
      </c>
      <c r="E72" s="2">
        <v>146.13333333333335</v>
      </c>
      <c r="F72" s="2">
        <v>150.76666666666668</v>
      </c>
      <c r="G72" s="2">
        <v>130.5</v>
      </c>
      <c r="H72" s="2">
        <v>143.76666666666665</v>
      </c>
      <c r="I72" s="2">
        <v>156.76666666666665</v>
      </c>
      <c r="J72" s="2">
        <v>143.43333333333331</v>
      </c>
      <c r="K72" s="2">
        <v>146.75555555555556</v>
      </c>
      <c r="L72" s="2"/>
    </row>
    <row r="73" spans="2:12" x14ac:dyDescent="0.3">
      <c r="B73" s="8" t="s">
        <v>35</v>
      </c>
      <c r="C73" s="2">
        <v>145.85897435897436</v>
      </c>
      <c r="D73" s="2">
        <v>150.36666666666667</v>
      </c>
      <c r="E73" s="2">
        <v>147.9</v>
      </c>
      <c r="F73" s="2">
        <v>151.33333333333334</v>
      </c>
      <c r="G73" s="2">
        <v>130.1</v>
      </c>
      <c r="H73" s="2">
        <v>144.26666666666668</v>
      </c>
      <c r="I73" s="2">
        <v>156.6</v>
      </c>
      <c r="J73" s="2">
        <v>145.20000000000002</v>
      </c>
      <c r="K73" s="2">
        <v>147.05555555555554</v>
      </c>
      <c r="L73" s="2"/>
    </row>
    <row r="74" spans="2:12" x14ac:dyDescent="0.3">
      <c r="B74" s="8" t="s">
        <v>36</v>
      </c>
      <c r="C74" s="2">
        <v>150.09059829059825</v>
      </c>
      <c r="D74" s="2">
        <v>150.87222222222223</v>
      </c>
      <c r="E74" s="2">
        <v>143.20000000000002</v>
      </c>
      <c r="F74" s="2">
        <v>149.93333333333334</v>
      </c>
      <c r="G74" s="2">
        <v>130.56666666666669</v>
      </c>
      <c r="H74" s="2">
        <v>143.79999999999998</v>
      </c>
      <c r="I74" s="2">
        <v>156.66666666666666</v>
      </c>
      <c r="J74" s="2">
        <v>143.64444444444442</v>
      </c>
      <c r="K74" s="2">
        <v>146.77407407407406</v>
      </c>
      <c r="L74" s="2"/>
    </row>
    <row r="75" spans="2:12" x14ac:dyDescent="0.3">
      <c r="B75" s="8" t="s">
        <v>37</v>
      </c>
      <c r="C75" s="2">
        <v>147.69259259259258</v>
      </c>
      <c r="D75" s="2">
        <v>150.57962962962964</v>
      </c>
      <c r="E75" s="2">
        <v>145.74444444444444</v>
      </c>
      <c r="F75" s="2">
        <v>150.67777777777778</v>
      </c>
      <c r="G75" s="2">
        <v>130.38888888888889</v>
      </c>
      <c r="H75" s="2">
        <v>143.94444444444443</v>
      </c>
      <c r="I75" s="2">
        <v>156.67777777777778</v>
      </c>
      <c r="J75" s="2">
        <v>144.09259259259258</v>
      </c>
      <c r="K75" s="2">
        <v>146.86172839506173</v>
      </c>
      <c r="L75" s="2"/>
    </row>
    <row r="76" spans="2:12" x14ac:dyDescent="0.3">
      <c r="B76" s="8" t="s">
        <v>38</v>
      </c>
      <c r="C76" s="2">
        <v>151.6102564102564</v>
      </c>
      <c r="D76" s="2">
        <v>150.43333333333334</v>
      </c>
      <c r="E76" s="2">
        <v>141.29999999999998</v>
      </c>
      <c r="F76" s="2">
        <v>153.56666666666666</v>
      </c>
      <c r="G76" s="2">
        <v>135.23333333333335</v>
      </c>
      <c r="H76" s="2">
        <v>148.66666666666666</v>
      </c>
      <c r="I76" s="2">
        <v>156.9</v>
      </c>
      <c r="J76" s="2">
        <v>151.66666666666666</v>
      </c>
      <c r="K76" s="2">
        <v>148.88888888888889</v>
      </c>
      <c r="L76" s="2"/>
    </row>
    <row r="77" spans="2:12" x14ac:dyDescent="0.3">
      <c r="B77" s="8" t="s">
        <v>39</v>
      </c>
      <c r="C77" s="2">
        <v>151.6102564102564</v>
      </c>
      <c r="D77" s="2">
        <v>150.43333333333334</v>
      </c>
      <c r="E77" s="2">
        <v>141.29999999999998</v>
      </c>
      <c r="F77" s="2">
        <v>153.56666666666666</v>
      </c>
      <c r="G77" s="2">
        <v>135.23333333333335</v>
      </c>
      <c r="H77" s="2">
        <v>148.66666666666666</v>
      </c>
      <c r="I77" s="2">
        <v>156.9</v>
      </c>
      <c r="J77" s="2">
        <v>151.66666666666666</v>
      </c>
      <c r="K77" s="2">
        <v>148.88888888888889</v>
      </c>
      <c r="L77" s="2"/>
    </row>
    <row r="78" spans="2:12" x14ac:dyDescent="0.3">
      <c r="B78" s="8" t="s">
        <v>40</v>
      </c>
      <c r="C78" s="2">
        <v>153.81282051282051</v>
      </c>
      <c r="D78" s="2">
        <v>151.88333333333333</v>
      </c>
      <c r="E78" s="2">
        <v>142.36666666666667</v>
      </c>
      <c r="F78" s="2">
        <v>154.16666666666666</v>
      </c>
      <c r="G78" s="2">
        <v>138.66666666666666</v>
      </c>
      <c r="H78" s="2">
        <v>146.46666666666667</v>
      </c>
      <c r="I78" s="2">
        <v>158.9</v>
      </c>
      <c r="J78" s="2">
        <v>154.36666666666667</v>
      </c>
      <c r="K78" s="2">
        <v>148.87777777777777</v>
      </c>
      <c r="L78" s="2"/>
    </row>
    <row r="79" spans="2:12" x14ac:dyDescent="0.3">
      <c r="B79" s="8" t="s">
        <v>41</v>
      </c>
      <c r="C79" s="2">
        <v>154.76923076923075</v>
      </c>
      <c r="D79" s="2">
        <v>152.43333333333334</v>
      </c>
      <c r="E79" s="2">
        <v>142.16666666666666</v>
      </c>
      <c r="F79" s="2">
        <v>154.9</v>
      </c>
      <c r="G79" s="2">
        <v>139.76666666666665</v>
      </c>
      <c r="H79" s="2">
        <v>147.06666666666666</v>
      </c>
      <c r="I79" s="2">
        <v>157.83333333333334</v>
      </c>
      <c r="J79" s="2">
        <v>158.53333333333333</v>
      </c>
      <c r="K79" s="2">
        <v>149.35555555555553</v>
      </c>
      <c r="L79" s="2"/>
    </row>
    <row r="80" spans="2:12" x14ac:dyDescent="0.3">
      <c r="B80" s="8" t="s">
        <v>42</v>
      </c>
      <c r="C80" s="2">
        <v>157.94102564102565</v>
      </c>
      <c r="D80" s="2">
        <v>152.54999999999998</v>
      </c>
      <c r="E80" s="2">
        <v>142.33333333333334</v>
      </c>
      <c r="F80" s="2">
        <v>155.6</v>
      </c>
      <c r="G80" s="2">
        <v>140.79999999999998</v>
      </c>
      <c r="H80" s="2">
        <v>146.96666666666667</v>
      </c>
      <c r="I80" s="2">
        <v>158.9</v>
      </c>
      <c r="J80" s="2">
        <v>157.1</v>
      </c>
      <c r="K80" s="2">
        <v>149.64444444444442</v>
      </c>
      <c r="L80" s="2"/>
    </row>
    <row r="81" spans="2:12" x14ac:dyDescent="0.3">
      <c r="B81" s="8" t="s">
        <v>44</v>
      </c>
      <c r="C81" s="2">
        <v>161.50512820512822</v>
      </c>
      <c r="D81" s="2">
        <v>153.51666666666665</v>
      </c>
      <c r="E81" s="2">
        <v>142.79999999999998</v>
      </c>
      <c r="F81" s="2">
        <v>156.53333333333333</v>
      </c>
      <c r="G81" s="2">
        <v>140.56666666666669</v>
      </c>
      <c r="H81" s="2">
        <v>148.79999999999998</v>
      </c>
      <c r="I81" s="2">
        <v>158.86666666666667</v>
      </c>
      <c r="J81" s="2">
        <v>157</v>
      </c>
      <c r="K81" s="2">
        <v>150.12222222222223</v>
      </c>
      <c r="L81" s="2"/>
    </row>
    <row r="82" spans="2:12" x14ac:dyDescent="0.3">
      <c r="B82" s="8" t="s">
        <v>45</v>
      </c>
      <c r="C82" s="2">
        <v>162.43589743589743</v>
      </c>
      <c r="D82" s="2">
        <v>153.96666666666667</v>
      </c>
      <c r="E82" s="2">
        <v>143.73333333333332</v>
      </c>
      <c r="F82" s="2">
        <v>157.60000000000002</v>
      </c>
      <c r="G82" s="2">
        <v>140.86666666666667</v>
      </c>
      <c r="H82" s="2">
        <v>148.9</v>
      </c>
      <c r="I82" s="2">
        <v>159.73333333333335</v>
      </c>
      <c r="J82" s="2">
        <v>157.20000000000002</v>
      </c>
      <c r="K82" s="2">
        <v>150.78888888888889</v>
      </c>
      <c r="L82" s="2"/>
    </row>
    <row r="83" spans="2:12" x14ac:dyDescent="0.3">
      <c r="B83" s="6">
        <v>2021</v>
      </c>
      <c r="C83" s="2">
        <v>163.33739316239323</v>
      </c>
      <c r="D83" s="2">
        <v>158.24166666666667</v>
      </c>
      <c r="E83" s="2">
        <v>158.70833333333334</v>
      </c>
      <c r="F83" s="2">
        <v>165.13333333333333</v>
      </c>
      <c r="G83" s="2">
        <v>150.69999999999996</v>
      </c>
      <c r="H83" s="2">
        <v>155.94444444444446</v>
      </c>
      <c r="I83" s="2">
        <v>162.5361111111111</v>
      </c>
      <c r="J83" s="2">
        <v>158.73888888888891</v>
      </c>
      <c r="K83" s="2">
        <v>157.7712962962963</v>
      </c>
      <c r="L83" s="2"/>
    </row>
    <row r="84" spans="2:12" x14ac:dyDescent="0.3">
      <c r="B84" s="8" t="s">
        <v>31</v>
      </c>
      <c r="C84" s="2">
        <v>159.97948717948717</v>
      </c>
      <c r="D84" s="2">
        <v>153.78333333333333</v>
      </c>
      <c r="E84" s="2">
        <v>147.23333333333335</v>
      </c>
      <c r="F84" s="2">
        <v>158.63333333333333</v>
      </c>
      <c r="G84" s="2">
        <v>142.1</v>
      </c>
      <c r="H84" s="2">
        <v>150.03333333333333</v>
      </c>
      <c r="I84" s="2">
        <v>159.6</v>
      </c>
      <c r="J84" s="2">
        <v>156.9</v>
      </c>
      <c r="K84" s="2">
        <v>151.38888888888889</v>
      </c>
      <c r="L84" s="2"/>
    </row>
    <row r="85" spans="2:12" x14ac:dyDescent="0.3">
      <c r="B85" s="8" t="s">
        <v>34</v>
      </c>
      <c r="C85" s="2">
        <v>157.19487179487183</v>
      </c>
      <c r="D85" s="2">
        <v>155.26666666666668</v>
      </c>
      <c r="E85" s="2">
        <v>151.96666666666667</v>
      </c>
      <c r="F85" s="2">
        <v>160.63333333333335</v>
      </c>
      <c r="G85" s="2">
        <v>145.26666666666668</v>
      </c>
      <c r="H85" s="2">
        <v>151.93333333333334</v>
      </c>
      <c r="I85" s="2">
        <v>159.9</v>
      </c>
      <c r="J85" s="2">
        <v>155.9</v>
      </c>
      <c r="K85" s="2">
        <v>152.88888888888889</v>
      </c>
      <c r="L85" s="2"/>
    </row>
    <row r="86" spans="2:12" x14ac:dyDescent="0.3">
      <c r="B86" s="8" t="s">
        <v>35</v>
      </c>
      <c r="C86" s="2">
        <v>157.16923076923075</v>
      </c>
      <c r="D86" s="2">
        <v>155.48333333333335</v>
      </c>
      <c r="E86" s="2">
        <v>155.43333333333334</v>
      </c>
      <c r="F86" s="2">
        <v>161.06666666666669</v>
      </c>
      <c r="G86" s="2">
        <v>146.4</v>
      </c>
      <c r="H86" s="2">
        <v>153</v>
      </c>
      <c r="I86" s="2">
        <v>160.53333333333333</v>
      </c>
      <c r="J86" s="2">
        <v>153.93333333333337</v>
      </c>
      <c r="K86" s="2">
        <v>153.48888888888888</v>
      </c>
      <c r="L86" s="2"/>
    </row>
    <row r="87" spans="2:12" x14ac:dyDescent="0.3">
      <c r="B87" s="8" t="s">
        <v>36</v>
      </c>
      <c r="C87" s="2">
        <v>159.05641025641026</v>
      </c>
      <c r="D87" s="2">
        <v>156.51666666666668</v>
      </c>
      <c r="E87" s="2">
        <v>155.5</v>
      </c>
      <c r="F87" s="2">
        <v>161.70000000000002</v>
      </c>
      <c r="G87" s="2">
        <v>146.79999999999998</v>
      </c>
      <c r="H87" s="2">
        <v>153.63333333333333</v>
      </c>
      <c r="I87" s="2">
        <v>160.66666666666666</v>
      </c>
      <c r="J87" s="2">
        <v>155.53333333333333</v>
      </c>
      <c r="K87" s="2">
        <v>154.32222222222219</v>
      </c>
      <c r="L87" s="2"/>
    </row>
    <row r="88" spans="2:12" x14ac:dyDescent="0.3">
      <c r="B88" s="8" t="s">
        <v>37</v>
      </c>
      <c r="C88" s="2">
        <v>162.19743589743589</v>
      </c>
      <c r="D88" s="2">
        <v>158.06666666666666</v>
      </c>
      <c r="E88" s="2">
        <v>158.86666666666665</v>
      </c>
      <c r="F88" s="2">
        <v>165.10000000000002</v>
      </c>
      <c r="G88" s="2">
        <v>149.03333333333333</v>
      </c>
      <c r="H88" s="2">
        <v>156.13333333333333</v>
      </c>
      <c r="I88" s="2">
        <v>161.79999999999998</v>
      </c>
      <c r="J88" s="2">
        <v>158.46666666666667</v>
      </c>
      <c r="K88" s="2">
        <v>157.2777777777778</v>
      </c>
      <c r="L88" s="2"/>
    </row>
    <row r="89" spans="2:12" x14ac:dyDescent="0.3">
      <c r="B89" s="8" t="s">
        <v>38</v>
      </c>
      <c r="C89" s="2">
        <v>164.37692307692308</v>
      </c>
      <c r="D89" s="2">
        <v>157.54999999999998</v>
      </c>
      <c r="E89" s="2">
        <v>159.33333333333334</v>
      </c>
      <c r="F89" s="2">
        <v>165.6</v>
      </c>
      <c r="G89" s="2">
        <v>150.79999999999998</v>
      </c>
      <c r="H89" s="2">
        <v>155.33333333333334</v>
      </c>
      <c r="I89" s="2">
        <v>162.19999999999999</v>
      </c>
      <c r="J89" s="2">
        <v>158.73333333333335</v>
      </c>
      <c r="K89" s="2">
        <v>157.45555555555555</v>
      </c>
      <c r="L89" s="2"/>
    </row>
    <row r="90" spans="2:12" x14ac:dyDescent="0.3">
      <c r="B90" s="8" t="s">
        <v>39</v>
      </c>
      <c r="C90" s="2">
        <v>165.41538461538462</v>
      </c>
      <c r="D90" s="2">
        <v>158.54999999999998</v>
      </c>
      <c r="E90" s="2">
        <v>160.29999999999998</v>
      </c>
      <c r="F90" s="2">
        <v>166.29999999999998</v>
      </c>
      <c r="G90" s="2">
        <v>153.23333333333335</v>
      </c>
      <c r="H90" s="2">
        <v>155.73333333333332</v>
      </c>
      <c r="I90" s="2">
        <v>163.56666666666666</v>
      </c>
      <c r="J90" s="2">
        <v>160.03333333333333</v>
      </c>
      <c r="K90" s="2">
        <v>158.33333333333334</v>
      </c>
      <c r="L90" s="2"/>
    </row>
    <row r="91" spans="2:12" x14ac:dyDescent="0.3">
      <c r="B91" s="8" t="s">
        <v>40</v>
      </c>
      <c r="C91" s="2">
        <v>164.8897435897436</v>
      </c>
      <c r="D91" s="2">
        <v>159.65</v>
      </c>
      <c r="E91" s="2">
        <v>162.13333333333333</v>
      </c>
      <c r="F91" s="2">
        <v>167.43333333333337</v>
      </c>
      <c r="G91" s="2">
        <v>154.03333333333333</v>
      </c>
      <c r="H91" s="2">
        <v>157.46666666666667</v>
      </c>
      <c r="I91" s="2">
        <v>163.9</v>
      </c>
      <c r="J91" s="2">
        <v>159.96666666666667</v>
      </c>
      <c r="K91" s="2">
        <v>159.95555555555555</v>
      </c>
      <c r="L91" s="2"/>
    </row>
    <row r="92" spans="2:12" x14ac:dyDescent="0.3">
      <c r="B92" s="8" t="s">
        <v>41</v>
      </c>
      <c r="C92" s="2">
        <v>164.96153846153845</v>
      </c>
      <c r="D92" s="2">
        <v>159.73333333333332</v>
      </c>
      <c r="E92" s="2">
        <v>162.36666666666665</v>
      </c>
      <c r="F92" s="2">
        <v>167.70000000000002</v>
      </c>
      <c r="G92" s="2">
        <v>154.1</v>
      </c>
      <c r="H92" s="2">
        <v>158.1</v>
      </c>
      <c r="I92" s="2">
        <v>164.16666666666666</v>
      </c>
      <c r="J92" s="2">
        <v>159.93333333333334</v>
      </c>
      <c r="K92" s="2">
        <v>160.26666666666665</v>
      </c>
      <c r="L92" s="2"/>
    </row>
    <row r="93" spans="2:12" x14ac:dyDescent="0.3">
      <c r="B93" s="8" t="s">
        <v>42</v>
      </c>
      <c r="C93" s="2">
        <v>167.64358974358976</v>
      </c>
      <c r="D93" s="2">
        <v>160.91666666666666</v>
      </c>
      <c r="E93" s="2">
        <v>163.96666666666667</v>
      </c>
      <c r="F93" s="2">
        <v>168.36666666666667</v>
      </c>
      <c r="G93" s="2">
        <v>155.79999999999998</v>
      </c>
      <c r="H93" s="2">
        <v>158.96666666666667</v>
      </c>
      <c r="I93" s="2">
        <v>164.4</v>
      </c>
      <c r="J93" s="2">
        <v>160.73333333333335</v>
      </c>
      <c r="K93" s="2">
        <v>161.31111111111113</v>
      </c>
      <c r="L93" s="2"/>
    </row>
    <row r="94" spans="2:12" x14ac:dyDescent="0.3">
      <c r="B94" s="8" t="s">
        <v>44</v>
      </c>
      <c r="C94" s="2">
        <v>169.07692307692307</v>
      </c>
      <c r="D94" s="2">
        <v>161.66666666666666</v>
      </c>
      <c r="E94" s="2">
        <v>163.6</v>
      </c>
      <c r="F94" s="2">
        <v>169.16666666666666</v>
      </c>
      <c r="G94" s="2">
        <v>154.96666666666667</v>
      </c>
      <c r="H94" s="2">
        <v>160.1</v>
      </c>
      <c r="I94" s="2">
        <v>164.8</v>
      </c>
      <c r="J94" s="2">
        <v>162.13333333333333</v>
      </c>
      <c r="K94" s="2">
        <v>162.65555555555557</v>
      </c>
      <c r="L94" s="2"/>
    </row>
    <row r="95" spans="2:12" x14ac:dyDescent="0.3">
      <c r="B95" s="8" t="s">
        <v>45</v>
      </c>
      <c r="C95" s="2">
        <v>168.08717948717947</v>
      </c>
      <c r="D95" s="2">
        <v>161.71666666666667</v>
      </c>
      <c r="E95" s="2">
        <v>163.79999999999998</v>
      </c>
      <c r="F95" s="2">
        <v>169.9</v>
      </c>
      <c r="G95" s="2">
        <v>155.86666666666667</v>
      </c>
      <c r="H95" s="2">
        <v>160.9</v>
      </c>
      <c r="I95" s="2">
        <v>164.9</v>
      </c>
      <c r="J95" s="2">
        <v>162.6</v>
      </c>
      <c r="K95" s="2">
        <v>163.91111111111113</v>
      </c>
      <c r="L95" s="2"/>
    </row>
    <row r="96" spans="2:12" x14ac:dyDescent="0.3">
      <c r="B96" s="6" t="s">
        <v>56</v>
      </c>
      <c r="C96" s="2">
        <v>152.76179080179077</v>
      </c>
      <c r="D96" s="2">
        <v>152.52386243386243</v>
      </c>
      <c r="E96" s="2">
        <v>147.23936507936511</v>
      </c>
      <c r="F96" s="2">
        <v>155.33269841269833</v>
      </c>
      <c r="G96" s="2">
        <v>137.59587301587311</v>
      </c>
      <c r="H96" s="2">
        <v>147.73365079365081</v>
      </c>
      <c r="I96" s="2">
        <v>158.08507936507934</v>
      </c>
      <c r="J96" s="2">
        <v>148.93629629629629</v>
      </c>
      <c r="K96" s="2">
        <v>150.53118165784835</v>
      </c>
      <c r="L96" s="2"/>
    </row>
    <row r="111" spans="1:13" x14ac:dyDescent="0.3">
      <c r="A111" s="57"/>
      <c r="M111" s="9"/>
    </row>
    <row r="112" spans="1:13" x14ac:dyDescent="0.3">
      <c r="A112" s="57"/>
      <c r="M112" s="9"/>
    </row>
    <row r="113" spans="1:13" x14ac:dyDescent="0.3">
      <c r="A113" s="57"/>
      <c r="M113" s="9"/>
    </row>
    <row r="114" spans="1:13" x14ac:dyDescent="0.3">
      <c r="A114" s="57"/>
      <c r="M114" s="9"/>
    </row>
    <row r="115" spans="1:13" x14ac:dyDescent="0.3">
      <c r="A115" s="57"/>
      <c r="M115" s="9"/>
    </row>
    <row r="116" spans="1:13" x14ac:dyDescent="0.3">
      <c r="A116" s="57"/>
      <c r="M116" s="9"/>
    </row>
    <row r="117" spans="1:13" x14ac:dyDescent="0.3">
      <c r="A117" s="57"/>
      <c r="M117" s="9"/>
    </row>
    <row r="118" spans="1:13" x14ac:dyDescent="0.3">
      <c r="A118" s="57"/>
      <c r="M118" s="9"/>
    </row>
    <row r="119" spans="1:13" x14ac:dyDescent="0.3">
      <c r="A119" s="57"/>
      <c r="M119" s="9"/>
    </row>
    <row r="120" spans="1:13" x14ac:dyDescent="0.3">
      <c r="A120" s="57"/>
      <c r="M120" s="9"/>
    </row>
    <row r="121" spans="1:13" x14ac:dyDescent="0.3">
      <c r="A121" s="57"/>
      <c r="M121" s="9"/>
    </row>
    <row r="122" spans="1:13" x14ac:dyDescent="0.3">
      <c r="A122" s="57"/>
      <c r="M122" s="9"/>
    </row>
    <row r="123" spans="1:13" x14ac:dyDescent="0.3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x14ac:dyDescent="0.3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x14ac:dyDescent="0.3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x14ac:dyDescent="0.3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x14ac:dyDescent="0.3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 x14ac:dyDescent="0.3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3:13" x14ac:dyDescent="0.3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3:13" x14ac:dyDescent="0.3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3:13" x14ac:dyDescent="0.3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</sheetData>
  <mergeCells count="6">
    <mergeCell ref="L51:L53"/>
    <mergeCell ref="L42:L50"/>
    <mergeCell ref="A42:A50"/>
    <mergeCell ref="A120:A122"/>
    <mergeCell ref="A51:A53"/>
    <mergeCell ref="A111:A119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325D-E380-41E2-80EA-9AA0111BB02C}">
  <dimension ref="A2:O177"/>
  <sheetViews>
    <sheetView showGridLines="0" topLeftCell="A60" zoomScale="80" workbookViewId="0">
      <selection activeCell="L6" sqref="L6:M6"/>
    </sheetView>
  </sheetViews>
  <sheetFormatPr defaultRowHeight="14.4" x14ac:dyDescent="0.3"/>
  <cols>
    <col min="1" max="1" width="3.44140625" customWidth="1"/>
    <col min="2" max="9" width="9.21875" bestFit="1" customWidth="1"/>
    <col min="12" max="12" width="11.109375" bestFit="1" customWidth="1"/>
    <col min="13" max="13" width="21.5546875" bestFit="1" customWidth="1"/>
  </cols>
  <sheetData>
    <row r="2" spans="1:13" x14ac:dyDescent="0.3">
      <c r="A2" t="s">
        <v>138</v>
      </c>
      <c r="B2" s="51" t="s">
        <v>135</v>
      </c>
      <c r="C2" s="39" t="s">
        <v>128</v>
      </c>
      <c r="D2" s="39" t="s">
        <v>129</v>
      </c>
      <c r="E2" s="39" t="s">
        <v>108</v>
      </c>
      <c r="F2" s="39" t="s">
        <v>130</v>
      </c>
      <c r="G2" s="39" t="s">
        <v>131</v>
      </c>
      <c r="H2" s="39" t="s">
        <v>132</v>
      </c>
      <c r="I2" s="39" t="s">
        <v>133</v>
      </c>
    </row>
    <row r="3" spans="1:13" x14ac:dyDescent="0.3">
      <c r="B3" s="52">
        <f t="shared" ref="B3:I12" si="0">B92/B91-1</f>
        <v>1.2690355329949554E-3</v>
      </c>
      <c r="C3" s="53">
        <f t="shared" si="0"/>
        <v>7.1236887045620367E-3</v>
      </c>
      <c r="D3" s="53">
        <f t="shared" si="0"/>
        <v>-2.564102564102555E-3</v>
      </c>
      <c r="E3" s="53">
        <f t="shared" si="0"/>
        <v>-3.3618984838497012E-2</v>
      </c>
      <c r="F3" s="53">
        <f t="shared" si="0"/>
        <v>-1.1675607447144021E-2</v>
      </c>
      <c r="G3" s="53">
        <f t="shared" si="0"/>
        <v>-1.814882032667875E-2</v>
      </c>
      <c r="H3" s="53">
        <f t="shared" si="0"/>
        <v>-2.8509451502943928E-2</v>
      </c>
      <c r="I3" s="53">
        <f t="shared" si="0"/>
        <v>-8.9571337172105192E-3</v>
      </c>
    </row>
    <row r="4" spans="1:13" x14ac:dyDescent="0.3">
      <c r="B4" s="52">
        <f t="shared" si="0"/>
        <v>1.2674271229402567E-3</v>
      </c>
      <c r="C4" s="53">
        <f t="shared" si="0"/>
        <v>1.2354052613729793E-2</v>
      </c>
      <c r="D4" s="53">
        <f t="shared" si="0"/>
        <v>-4.4987146529562594E-3</v>
      </c>
      <c r="E4" s="53">
        <f t="shared" si="0"/>
        <v>-3.0695770804911371E-2</v>
      </c>
      <c r="F4" s="53">
        <f t="shared" si="0"/>
        <v>-1.3409961685823868E-2</v>
      </c>
      <c r="G4" s="53">
        <f t="shared" si="0"/>
        <v>-2.957486136783738E-2</v>
      </c>
      <c r="H4" s="53">
        <f t="shared" si="0"/>
        <v>-2.169059011164276E-2</v>
      </c>
      <c r="I4" s="53">
        <f t="shared" si="0"/>
        <v>-8.715300193673281E-3</v>
      </c>
      <c r="L4" s="57" t="s">
        <v>136</v>
      </c>
      <c r="M4" s="58"/>
    </row>
    <row r="5" spans="1:13" x14ac:dyDescent="0.3">
      <c r="B5" s="52">
        <f t="shared" si="0"/>
        <v>3.5443037974683511E-2</v>
      </c>
      <c r="C5" s="53">
        <f t="shared" si="0"/>
        <v>1.9716692189892804E-2</v>
      </c>
      <c r="D5" s="53">
        <f t="shared" si="0"/>
        <v>5.2937378954163838E-2</v>
      </c>
      <c r="E5" s="53">
        <f t="shared" si="0"/>
        <v>0.10978184377199152</v>
      </c>
      <c r="F5" s="53">
        <f t="shared" si="0"/>
        <v>4.5307443365695699E-2</v>
      </c>
      <c r="G5" s="53">
        <f t="shared" si="0"/>
        <v>8.6349206349206398E-2</v>
      </c>
      <c r="H5" s="53">
        <f t="shared" si="0"/>
        <v>7.1405282034561646E-2</v>
      </c>
      <c r="I5" s="53">
        <f t="shared" si="0"/>
        <v>5.372842722240323E-2</v>
      </c>
      <c r="L5" s="54" t="s">
        <v>137</v>
      </c>
      <c r="M5" s="39" t="s">
        <v>128</v>
      </c>
    </row>
    <row r="6" spans="1:13" x14ac:dyDescent="0.3">
      <c r="B6" s="52">
        <f t="shared" si="0"/>
        <v>-2.4449877750611915E-3</v>
      </c>
      <c r="C6" s="53">
        <f t="shared" si="0"/>
        <v>5.2562417871222511E-3</v>
      </c>
      <c r="D6" s="53">
        <f t="shared" si="0"/>
        <v>-3.065603923973037E-3</v>
      </c>
      <c r="E6" s="53">
        <f t="shared" si="0"/>
        <v>-2.3462270133164154E-2</v>
      </c>
      <c r="F6" s="53">
        <f t="shared" si="0"/>
        <v>-1.0526315789473606E-2</v>
      </c>
      <c r="G6" s="53">
        <f t="shared" si="0"/>
        <v>-1.5780245470485066E-2</v>
      </c>
      <c r="H6" s="53">
        <f t="shared" si="0"/>
        <v>-2.1911138161899157E-2</v>
      </c>
      <c r="I6" s="53">
        <f t="shared" si="0"/>
        <v>-1.1124845488257207E-2</v>
      </c>
      <c r="L6" s="55">
        <v>0.56143736376279774</v>
      </c>
      <c r="M6" s="56"/>
    </row>
    <row r="7" spans="1:13" x14ac:dyDescent="0.3">
      <c r="B7" s="52">
        <f t="shared" si="0"/>
        <v>-5.5147058823528106E-3</v>
      </c>
      <c r="C7" s="53">
        <f t="shared" si="0"/>
        <v>7.4229691876750437E-3</v>
      </c>
      <c r="D7" s="53">
        <f t="shared" si="0"/>
        <v>-1.1685116851168575E-2</v>
      </c>
      <c r="E7" s="53">
        <f t="shared" si="0"/>
        <v>-2.3376623376623384E-2</v>
      </c>
      <c r="F7" s="53">
        <f t="shared" si="0"/>
        <v>-1.3454317897371948E-2</v>
      </c>
      <c r="G7" s="53">
        <f t="shared" si="0"/>
        <v>-3.3254156769596199E-2</v>
      </c>
      <c r="H7" s="53">
        <f t="shared" si="0"/>
        <v>-2.2713130056004838E-2</v>
      </c>
      <c r="I7" s="53">
        <f t="shared" si="0"/>
        <v>-1.3749999999999929E-2</v>
      </c>
      <c r="L7" s="35"/>
      <c r="M7" s="35"/>
    </row>
    <row r="8" spans="1:13" x14ac:dyDescent="0.3">
      <c r="B8" s="52">
        <f t="shared" si="0"/>
        <v>2.8958718422674057E-2</v>
      </c>
      <c r="C8" s="53">
        <f t="shared" si="0"/>
        <v>4.7731590898558718E-3</v>
      </c>
      <c r="D8" s="53">
        <f t="shared" si="0"/>
        <v>3.0491599253267054E-2</v>
      </c>
      <c r="E8" s="53">
        <f t="shared" si="0"/>
        <v>6.4494680851063801E-2</v>
      </c>
      <c r="F8" s="53">
        <f t="shared" si="0"/>
        <v>3.8058991436727085E-2</v>
      </c>
      <c r="G8" s="53">
        <f t="shared" si="0"/>
        <v>6.8796068796068699E-2</v>
      </c>
      <c r="H8" s="53">
        <f t="shared" si="0"/>
        <v>6.3992359121298747E-2</v>
      </c>
      <c r="I8" s="53">
        <f t="shared" si="0"/>
        <v>4.1825095057034245E-2</v>
      </c>
      <c r="L8" s="58"/>
      <c r="M8" s="58"/>
    </row>
    <row r="9" spans="1:13" x14ac:dyDescent="0.3">
      <c r="B9" s="52">
        <f t="shared" si="0"/>
        <v>-4.7904191616766623E-3</v>
      </c>
      <c r="C9" s="53">
        <f t="shared" si="0"/>
        <v>5.8573932294070374E-3</v>
      </c>
      <c r="D9" s="53">
        <f t="shared" si="0"/>
        <v>-9.0579710144927938E-3</v>
      </c>
      <c r="E9" s="53">
        <f t="shared" si="0"/>
        <v>-2.7482823235477905E-2</v>
      </c>
      <c r="F9" s="53">
        <f t="shared" si="0"/>
        <v>-1.1304613504430128E-2</v>
      </c>
      <c r="G9" s="53">
        <f t="shared" si="0"/>
        <v>-1.9540229885057547E-2</v>
      </c>
      <c r="H9" s="53">
        <f t="shared" si="0"/>
        <v>-2.752842609216033E-2</v>
      </c>
      <c r="I9" s="53">
        <f t="shared" si="0"/>
        <v>-1.2773722627737238E-2</v>
      </c>
      <c r="L9" s="54" t="s">
        <v>137</v>
      </c>
      <c r="M9" s="39" t="s">
        <v>129</v>
      </c>
    </row>
    <row r="10" spans="1:13" x14ac:dyDescent="0.3">
      <c r="B10" s="52">
        <f t="shared" si="0"/>
        <v>-6.0168471720818406E-3</v>
      </c>
      <c r="C10" s="53">
        <f t="shared" si="0"/>
        <v>1.1646567930670981E-2</v>
      </c>
      <c r="D10" s="53">
        <f t="shared" si="0"/>
        <v>-1.4625228519195677E-2</v>
      </c>
      <c r="E10" s="53">
        <f t="shared" si="0"/>
        <v>-2.5048169556839972E-2</v>
      </c>
      <c r="F10" s="53">
        <f t="shared" si="0"/>
        <v>-1.2978986402966797E-2</v>
      </c>
      <c r="G10" s="53">
        <f t="shared" si="0"/>
        <v>-3.223915592028137E-2</v>
      </c>
      <c r="H10" s="53">
        <f t="shared" si="0"/>
        <v>-2.0923076923076933E-2</v>
      </c>
      <c r="I10" s="53">
        <f t="shared" si="0"/>
        <v>-1.3555144793591989E-2</v>
      </c>
      <c r="L10" s="55">
        <v>0.89970156162156156</v>
      </c>
      <c r="M10" s="56"/>
    </row>
    <row r="11" spans="1:13" x14ac:dyDescent="0.3">
      <c r="B11" s="52">
        <f t="shared" si="0"/>
        <v>-5.1452784503631999E-2</v>
      </c>
      <c r="C11" s="53">
        <f t="shared" si="0"/>
        <v>-8.2037800843040465E-2</v>
      </c>
      <c r="D11" s="53">
        <f t="shared" si="0"/>
        <v>-4.5145330859616473E-2</v>
      </c>
      <c r="E11" s="53">
        <f t="shared" si="0"/>
        <v>-1.054018445322813E-2</v>
      </c>
      <c r="F11" s="53">
        <f t="shared" si="0"/>
        <v>-1.5028177833437573E-2</v>
      </c>
      <c r="G11" s="53">
        <f t="shared" si="0"/>
        <v>-4.8455481526347155E-3</v>
      </c>
      <c r="H11" s="53">
        <f t="shared" si="0"/>
        <v>7.5424261470773413E-3</v>
      </c>
      <c r="I11" s="53">
        <f t="shared" si="0"/>
        <v>-2.4359775140537332E-2</v>
      </c>
      <c r="L11" s="35"/>
      <c r="M11" s="35"/>
    </row>
    <row r="12" spans="1:13" x14ac:dyDescent="0.3">
      <c r="B12" s="52">
        <f t="shared" si="0"/>
        <v>-6.3816209317157924E-4</v>
      </c>
      <c r="C12" s="53">
        <f t="shared" si="0"/>
        <v>6.9125561645189126E-3</v>
      </c>
      <c r="D12" s="53">
        <f t="shared" si="0"/>
        <v>-1.2953367875647714E-2</v>
      </c>
      <c r="E12" s="53">
        <f t="shared" si="0"/>
        <v>-3.3954727030625742E-2</v>
      </c>
      <c r="F12" s="53">
        <f t="shared" si="0"/>
        <v>-1.2396694214875992E-2</v>
      </c>
      <c r="G12" s="53">
        <f t="shared" si="0"/>
        <v>-1.8259281801582428E-2</v>
      </c>
      <c r="H12" s="53">
        <f t="shared" si="0"/>
        <v>-2.9943855271366226E-2</v>
      </c>
      <c r="I12" s="53">
        <f t="shared" si="0"/>
        <v>-1.0243277848911436E-2</v>
      </c>
      <c r="L12" s="58"/>
      <c r="M12" s="58"/>
    </row>
    <row r="13" spans="1:13" x14ac:dyDescent="0.3">
      <c r="B13" s="52">
        <f t="shared" ref="B13:I22" si="1">B102/B101-1</f>
        <v>-6.3856960408681385E-4</v>
      </c>
      <c r="C13" s="53">
        <f t="shared" si="1"/>
        <v>1.3092727896827139E-2</v>
      </c>
      <c r="D13" s="53">
        <f t="shared" si="1"/>
        <v>-2.1653543307086687E-2</v>
      </c>
      <c r="E13" s="53">
        <f t="shared" si="1"/>
        <v>-3.1702274293590627E-2</v>
      </c>
      <c r="F13" s="53">
        <f t="shared" si="1"/>
        <v>-1.4161570646926358E-2</v>
      </c>
      <c r="G13" s="53">
        <f t="shared" si="1"/>
        <v>-3.0998140111593298E-2</v>
      </c>
      <c r="H13" s="53">
        <f t="shared" si="1"/>
        <v>-2.2829581993569215E-2</v>
      </c>
      <c r="I13" s="53">
        <f t="shared" si="1"/>
        <v>-1.0349288486416697E-2</v>
      </c>
      <c r="L13" s="54" t="s">
        <v>137</v>
      </c>
      <c r="M13" s="39" t="s">
        <v>108</v>
      </c>
    </row>
    <row r="14" spans="1:13" x14ac:dyDescent="0.3">
      <c r="B14" s="52">
        <f t="shared" si="1"/>
        <v>1.2779552715654896E-2</v>
      </c>
      <c r="C14" s="53">
        <f t="shared" si="1"/>
        <v>-1.4520813165563862E-4</v>
      </c>
      <c r="D14" s="53">
        <f t="shared" si="1"/>
        <v>1.2072434607645954E-2</v>
      </c>
      <c r="E14" s="53">
        <f t="shared" si="1"/>
        <v>4.9822064056939563E-2</v>
      </c>
      <c r="F14" s="53">
        <f t="shared" si="1"/>
        <v>1.7303297420829367E-2</v>
      </c>
      <c r="G14" s="53">
        <f t="shared" si="1"/>
        <v>3.9667306461932172E-2</v>
      </c>
      <c r="H14" s="53">
        <f t="shared" si="1"/>
        <v>4.8371174728529365E-2</v>
      </c>
      <c r="I14" s="53">
        <f t="shared" si="1"/>
        <v>1.9934640522875968E-2</v>
      </c>
      <c r="L14" s="55">
        <v>0.72792534218358429</v>
      </c>
      <c r="M14" s="56"/>
    </row>
    <row r="15" spans="1:13" x14ac:dyDescent="0.3">
      <c r="B15" s="52">
        <f t="shared" si="1"/>
        <v>-7.5709779179810033E-3</v>
      </c>
      <c r="C15" s="53">
        <f t="shared" si="1"/>
        <v>5.2282519242872194E-3</v>
      </c>
      <c r="D15" s="53">
        <f t="shared" si="1"/>
        <v>-1.9880715705765439E-2</v>
      </c>
      <c r="E15" s="53">
        <f t="shared" si="1"/>
        <v>-3.7966101694915211E-2</v>
      </c>
      <c r="F15" s="53">
        <f t="shared" si="1"/>
        <v>-1.2516046213093768E-2</v>
      </c>
      <c r="G15" s="53">
        <f t="shared" si="1"/>
        <v>-1.9692307692307676E-2</v>
      </c>
      <c r="H15" s="53">
        <f t="shared" si="1"/>
        <v>-3.0759573132454698E-2</v>
      </c>
      <c r="I15" s="53">
        <f t="shared" si="1"/>
        <v>-1.089394424863821E-2</v>
      </c>
      <c r="L15" s="35"/>
      <c r="M15" s="35"/>
    </row>
    <row r="16" spans="1:13" x14ac:dyDescent="0.3">
      <c r="B16" s="52">
        <f t="shared" si="1"/>
        <v>-8.2644628099174389E-3</v>
      </c>
      <c r="C16" s="53">
        <f t="shared" si="1"/>
        <v>9.8723814110281971E-3</v>
      </c>
      <c r="D16" s="53">
        <f t="shared" si="1"/>
        <v>-3.380662609871532E-2</v>
      </c>
      <c r="E16" s="53">
        <f t="shared" si="1"/>
        <v>-3.5236081747709647E-2</v>
      </c>
      <c r="F16" s="53">
        <f t="shared" si="1"/>
        <v>-1.3974650633734154E-2</v>
      </c>
      <c r="G16" s="53">
        <f t="shared" si="1"/>
        <v>-3.2642812303829372E-2</v>
      </c>
      <c r="H16" s="53">
        <f t="shared" si="1"/>
        <v>-2.3639896373056857E-2</v>
      </c>
      <c r="I16" s="53">
        <f t="shared" si="1"/>
        <v>-1.1013929381276655E-2</v>
      </c>
      <c r="L16" s="58"/>
      <c r="M16" s="58"/>
    </row>
    <row r="17" spans="2:13" x14ac:dyDescent="0.3">
      <c r="B17" s="52">
        <f t="shared" si="1"/>
        <v>4.615384615384599E-2</v>
      </c>
      <c r="C17" s="53">
        <f t="shared" si="1"/>
        <v>1.6881258941344734E-2</v>
      </c>
      <c r="D17" s="53">
        <f t="shared" si="1"/>
        <v>0.13715885234429659</v>
      </c>
      <c r="E17" s="53">
        <f t="shared" si="1"/>
        <v>0.14755295836376914</v>
      </c>
      <c r="F17" s="53">
        <f t="shared" si="1"/>
        <v>6.0646011865524097E-2</v>
      </c>
      <c r="G17" s="53">
        <f t="shared" si="1"/>
        <v>0.10577547047371838</v>
      </c>
      <c r="H17" s="53">
        <f t="shared" si="1"/>
        <v>8.7562189054726236E-2</v>
      </c>
      <c r="I17" s="53">
        <f t="shared" si="1"/>
        <v>5.863085489682307E-2</v>
      </c>
      <c r="L17" s="54" t="s">
        <v>137</v>
      </c>
      <c r="M17" s="39" t="s">
        <v>130</v>
      </c>
    </row>
    <row r="18" spans="2:13" x14ac:dyDescent="0.3">
      <c r="B18" s="52">
        <f t="shared" si="1"/>
        <v>-4.2892156862744946E-3</v>
      </c>
      <c r="C18" s="53">
        <f t="shared" si="1"/>
        <v>6.8467454511349501E-3</v>
      </c>
      <c r="D18" s="53">
        <f t="shared" si="1"/>
        <v>-1.1076923076923095E-2</v>
      </c>
      <c r="E18" s="53">
        <f t="shared" si="1"/>
        <v>-2.5461489497135559E-2</v>
      </c>
      <c r="F18" s="53">
        <f t="shared" si="1"/>
        <v>-1.3983840894965849E-2</v>
      </c>
      <c r="G18" s="53">
        <f t="shared" si="1"/>
        <v>-1.9953051643192499E-2</v>
      </c>
      <c r="H18" s="53">
        <f t="shared" si="1"/>
        <v>-2.8667276608722148E-2</v>
      </c>
      <c r="I18" s="53">
        <f t="shared" si="1"/>
        <v>-1.268564356435653E-2</v>
      </c>
      <c r="L18" s="55">
        <v>0.80957669614559602</v>
      </c>
      <c r="M18" s="56"/>
    </row>
    <row r="19" spans="2:13" x14ac:dyDescent="0.3">
      <c r="B19" s="52">
        <f t="shared" si="1"/>
        <v>-4.3076923076922347E-3</v>
      </c>
      <c r="C19" s="53">
        <f t="shared" si="1"/>
        <v>1.1551001397298588E-2</v>
      </c>
      <c r="D19" s="53">
        <f t="shared" si="1"/>
        <v>-1.866832607342872E-2</v>
      </c>
      <c r="E19" s="53">
        <f t="shared" si="1"/>
        <v>-2.3514043109079008E-2</v>
      </c>
      <c r="F19" s="53">
        <f t="shared" si="1"/>
        <v>-1.6073116924046671E-2</v>
      </c>
      <c r="G19" s="53">
        <f t="shared" si="1"/>
        <v>-3.2934131736526928E-2</v>
      </c>
      <c r="H19" s="53">
        <f t="shared" si="1"/>
        <v>-2.1978021978022011E-2</v>
      </c>
      <c r="I19" s="53">
        <f t="shared" si="1"/>
        <v>-1.4102162331557477E-2</v>
      </c>
      <c r="L19" s="35"/>
      <c r="M19" s="35"/>
    </row>
    <row r="20" spans="2:13" x14ac:dyDescent="0.3">
      <c r="B20" s="52">
        <f t="shared" si="1"/>
        <v>1.8541409147094789E-3</v>
      </c>
      <c r="C20" s="53">
        <f t="shared" si="1"/>
        <v>-2.2654019707155415E-2</v>
      </c>
      <c r="D20" s="53">
        <f t="shared" si="1"/>
        <v>2.7901077996195456E-2</v>
      </c>
      <c r="E20" s="53">
        <f t="shared" si="1"/>
        <v>3.1438127090301027E-2</v>
      </c>
      <c r="F20" s="53">
        <f t="shared" si="1"/>
        <v>2.4023062139653995E-2</v>
      </c>
      <c r="G20" s="53">
        <f t="shared" si="1"/>
        <v>5.0773993808049367E-2</v>
      </c>
      <c r="H20" s="53">
        <f t="shared" si="1"/>
        <v>5.0401284109149458E-2</v>
      </c>
      <c r="I20" s="53">
        <f t="shared" si="1"/>
        <v>2.0025429116337978E-2</v>
      </c>
      <c r="L20" s="58"/>
      <c r="M20" s="58"/>
    </row>
    <row r="21" spans="2:13" x14ac:dyDescent="0.3">
      <c r="B21" s="52">
        <f t="shared" si="1"/>
        <v>-4.935225169648283E-3</v>
      </c>
      <c r="C21" s="53">
        <f t="shared" si="1"/>
        <v>5.3236596626777821E-3</v>
      </c>
      <c r="D21" s="53">
        <f t="shared" si="1"/>
        <v>-1.4188772362738966E-2</v>
      </c>
      <c r="E21" s="53">
        <f t="shared" si="1"/>
        <v>-2.2697795071335958E-2</v>
      </c>
      <c r="F21" s="53">
        <f t="shared" si="1"/>
        <v>-1.3762902721301096E-2</v>
      </c>
      <c r="G21" s="53">
        <f t="shared" si="1"/>
        <v>-2.0035356511490687E-2</v>
      </c>
      <c r="H21" s="53">
        <f t="shared" si="1"/>
        <v>-3.2396088019559954E-2</v>
      </c>
      <c r="I21" s="53">
        <f t="shared" si="1"/>
        <v>-1.4023060143346866E-2</v>
      </c>
      <c r="L21" s="54" t="s">
        <v>137</v>
      </c>
      <c r="M21" s="39" t="s">
        <v>131</v>
      </c>
    </row>
    <row r="22" spans="2:13" x14ac:dyDescent="0.3">
      <c r="B22" s="52">
        <f t="shared" si="1"/>
        <v>-5.5796652200867936E-3</v>
      </c>
      <c r="C22" s="53">
        <f t="shared" si="1"/>
        <v>9.5130980833215695E-3</v>
      </c>
      <c r="D22" s="53">
        <f t="shared" si="1"/>
        <v>-2.3153942428035146E-2</v>
      </c>
      <c r="E22" s="53">
        <f t="shared" si="1"/>
        <v>-2.1234240212342326E-2</v>
      </c>
      <c r="F22" s="53">
        <f t="shared" si="1"/>
        <v>-1.5857913098636267E-2</v>
      </c>
      <c r="G22" s="53">
        <f t="shared" si="1"/>
        <v>-3.3072760072158758E-2</v>
      </c>
      <c r="H22" s="53">
        <f t="shared" si="1"/>
        <v>-2.4636765634870716E-2</v>
      </c>
      <c r="I22" s="53">
        <f t="shared" si="1"/>
        <v>-1.5802781289506962E-2</v>
      </c>
      <c r="L22" s="55">
        <v>0.77223328361243115</v>
      </c>
      <c r="M22" s="56"/>
    </row>
    <row r="23" spans="2:13" x14ac:dyDescent="0.3">
      <c r="B23" s="52">
        <f t="shared" ref="B23:I32" si="2">B112/B111-1</f>
        <v>-2.3067331670823088E-2</v>
      </c>
      <c r="C23" s="53">
        <f t="shared" si="2"/>
        <v>-5.9650914492618945E-2</v>
      </c>
      <c r="D23" s="53">
        <f t="shared" si="2"/>
        <v>-6.4061499039069769E-4</v>
      </c>
      <c r="E23" s="53">
        <f t="shared" si="2"/>
        <v>2.5762711864406818E-2</v>
      </c>
      <c r="F23" s="53">
        <f t="shared" si="2"/>
        <v>1.4179825974863114E-2</v>
      </c>
      <c r="G23" s="53">
        <f t="shared" si="2"/>
        <v>2.3631840796019876E-2</v>
      </c>
      <c r="H23" s="53">
        <f t="shared" si="2"/>
        <v>4.1450777202072686E-2</v>
      </c>
      <c r="I23" s="53">
        <f t="shared" si="2"/>
        <v>-3.2113037893384266E-3</v>
      </c>
      <c r="L23" s="35"/>
      <c r="M23" s="35"/>
    </row>
    <row r="24" spans="2:13" x14ac:dyDescent="0.3">
      <c r="B24" s="52">
        <f t="shared" si="2"/>
        <v>6.381620931719123E-4</v>
      </c>
      <c r="C24" s="53">
        <f t="shared" si="2"/>
        <v>6.7630942390284332E-3</v>
      </c>
      <c r="D24" s="53">
        <f t="shared" si="2"/>
        <v>-3.2051282051281937E-3</v>
      </c>
      <c r="E24" s="53">
        <f t="shared" si="2"/>
        <v>-3.3707865168539519E-2</v>
      </c>
      <c r="F24" s="53">
        <f t="shared" si="2"/>
        <v>-1.1439466158245981E-2</v>
      </c>
      <c r="G24" s="53">
        <f t="shared" si="2"/>
        <v>-1.761846901579589E-2</v>
      </c>
      <c r="H24" s="53">
        <f t="shared" si="2"/>
        <v>-2.7363184079602254E-2</v>
      </c>
      <c r="I24" s="53">
        <f t="shared" si="2"/>
        <v>-9.0206185567008879E-3</v>
      </c>
      <c r="L24" s="58"/>
      <c r="M24" s="58"/>
    </row>
    <row r="25" spans="2:13" x14ac:dyDescent="0.3">
      <c r="B25" s="52">
        <f t="shared" si="2"/>
        <v>6.3775510204067132E-4</v>
      </c>
      <c r="C25" s="53">
        <f t="shared" si="2"/>
        <v>1.2307541433754787E-2</v>
      </c>
      <c r="D25" s="53">
        <f t="shared" si="2"/>
        <v>-4.5016077170417779E-3</v>
      </c>
      <c r="E25" s="53">
        <f t="shared" si="2"/>
        <v>-3.0779753761969952E-2</v>
      </c>
      <c r="F25" s="53">
        <f t="shared" si="2"/>
        <v>-1.2857602057216311E-2</v>
      </c>
      <c r="G25" s="53">
        <f t="shared" si="2"/>
        <v>-2.9684601113172393E-2</v>
      </c>
      <c r="H25" s="53">
        <f t="shared" si="2"/>
        <v>-2.1099744245524188E-2</v>
      </c>
      <c r="I25" s="53">
        <f t="shared" si="2"/>
        <v>-8.7776332899871523E-3</v>
      </c>
      <c r="L25" s="54" t="s">
        <v>137</v>
      </c>
      <c r="M25" s="39" t="s">
        <v>132</v>
      </c>
    </row>
    <row r="26" spans="2:13" x14ac:dyDescent="0.3">
      <c r="B26" s="52">
        <f t="shared" si="2"/>
        <v>2.6768642447418722E-2</v>
      </c>
      <c r="C26" s="53">
        <f t="shared" si="2"/>
        <v>1.4918866553645049E-2</v>
      </c>
      <c r="D26" s="53">
        <f t="shared" si="2"/>
        <v>4.457364341085257E-2</v>
      </c>
      <c r="E26" s="53">
        <f t="shared" si="2"/>
        <v>8.1157374735356447E-2</v>
      </c>
      <c r="F26" s="53">
        <f t="shared" si="2"/>
        <v>5.8612829697166635E-3</v>
      </c>
      <c r="G26" s="53">
        <f t="shared" si="2"/>
        <v>7.7756532823454405E-2</v>
      </c>
      <c r="H26" s="53">
        <f t="shared" si="2"/>
        <v>6.98889614630962E-2</v>
      </c>
      <c r="I26" s="53">
        <f t="shared" si="2"/>
        <v>5.0836339783535633E-2</v>
      </c>
      <c r="L26" s="55">
        <v>0.74895736070874575</v>
      </c>
      <c r="M26" s="56"/>
    </row>
    <row r="27" spans="2:13" x14ac:dyDescent="0.3">
      <c r="B27" s="52">
        <f t="shared" si="2"/>
        <v>-4.345127250155123E-3</v>
      </c>
      <c r="C27" s="53">
        <f t="shared" si="2"/>
        <v>4.9634897150767632E-3</v>
      </c>
      <c r="D27" s="53">
        <f t="shared" si="2"/>
        <v>-1.4223871366728424E-2</v>
      </c>
      <c r="E27" s="53">
        <f t="shared" si="2"/>
        <v>-2.8067885117493363E-2</v>
      </c>
      <c r="F27" s="53">
        <f t="shared" si="2"/>
        <v>2.3955972806733561E-2</v>
      </c>
      <c r="G27" s="53">
        <f t="shared" si="2"/>
        <v>-1.9515079834417359E-2</v>
      </c>
      <c r="H27" s="53">
        <f t="shared" si="2"/>
        <v>-3.2356532356532464E-2</v>
      </c>
      <c r="I27" s="53">
        <f t="shared" si="2"/>
        <v>-1.5605493133583059E-2</v>
      </c>
      <c r="L27" s="35"/>
      <c r="M27" s="35"/>
    </row>
    <row r="28" spans="2:13" x14ac:dyDescent="0.3">
      <c r="B28" s="52">
        <f t="shared" si="2"/>
        <v>-5.610972568578565E-3</v>
      </c>
      <c r="C28" s="53">
        <f t="shared" si="2"/>
        <v>9.0231277010019983E-3</v>
      </c>
      <c r="D28" s="53">
        <f t="shared" si="2"/>
        <v>-2.4466750313676289E-2</v>
      </c>
      <c r="E28" s="53">
        <f t="shared" si="2"/>
        <v>-2.6192075218267385E-2</v>
      </c>
      <c r="F28" s="53">
        <f t="shared" si="2"/>
        <v>-1.4543155232374261E-2</v>
      </c>
      <c r="G28" s="53">
        <f t="shared" si="2"/>
        <v>-3.2569360675512748E-2</v>
      </c>
      <c r="H28" s="53">
        <f t="shared" si="2"/>
        <v>-2.460567823343851E-2</v>
      </c>
      <c r="I28" s="53">
        <f t="shared" si="2"/>
        <v>-1.7755231452124209E-2</v>
      </c>
      <c r="L28" s="58"/>
      <c r="M28" s="58"/>
    </row>
    <row r="29" spans="2:13" x14ac:dyDescent="0.3">
      <c r="B29" s="52">
        <f t="shared" si="2"/>
        <v>5.0783699059561149E-2</v>
      </c>
      <c r="C29" s="53">
        <f t="shared" si="2"/>
        <v>2.6968513201863553E-2</v>
      </c>
      <c r="D29" s="53">
        <f t="shared" si="2"/>
        <v>6.3022508038585334E-2</v>
      </c>
      <c r="E29" s="53">
        <f t="shared" si="2"/>
        <v>9.5862068965517189E-2</v>
      </c>
      <c r="F29" s="53">
        <f t="shared" si="2"/>
        <v>2.9515559833172889E-2</v>
      </c>
      <c r="G29" s="53">
        <f t="shared" si="2"/>
        <v>8.1047381546134556E-2</v>
      </c>
      <c r="H29" s="53">
        <f t="shared" si="2"/>
        <v>7.7296248382923816E-2</v>
      </c>
      <c r="I29" s="53">
        <f t="shared" si="2"/>
        <v>5.7456423499031573E-2</v>
      </c>
      <c r="L29" s="54" t="s">
        <v>137</v>
      </c>
      <c r="M29" s="39" t="s">
        <v>133</v>
      </c>
    </row>
    <row r="30" spans="2:13" x14ac:dyDescent="0.3">
      <c r="B30" s="52">
        <f t="shared" si="2"/>
        <v>-5.3699284009547377E-3</v>
      </c>
      <c r="C30" s="53">
        <f t="shared" si="2"/>
        <v>5.545371219065176E-3</v>
      </c>
      <c r="D30" s="53">
        <f t="shared" si="2"/>
        <v>-8.4694494857834313E-3</v>
      </c>
      <c r="E30" s="53">
        <f t="shared" si="2"/>
        <v>-2.5802391441157924E-2</v>
      </c>
      <c r="F30" s="53">
        <f t="shared" si="2"/>
        <v>8.1022125272671719E-3</v>
      </c>
      <c r="G30" s="53">
        <f t="shared" si="2"/>
        <v>-2.0184544405997706E-2</v>
      </c>
      <c r="H30" s="53">
        <f t="shared" si="2"/>
        <v>-2.7018913239267528E-2</v>
      </c>
      <c r="I30" s="53">
        <f t="shared" si="2"/>
        <v>-1.2210012210012167E-2</v>
      </c>
      <c r="L30" s="55">
        <v>0.90659493843497485</v>
      </c>
      <c r="M30" s="56"/>
    </row>
    <row r="31" spans="2:13" x14ac:dyDescent="0.3">
      <c r="B31" s="52">
        <f t="shared" si="2"/>
        <v>-6.5986802639471653E-3</v>
      </c>
      <c r="C31" s="53">
        <f t="shared" si="2"/>
        <v>1.0847272230071425E-2</v>
      </c>
      <c r="D31" s="53">
        <f t="shared" si="2"/>
        <v>-1.403294691885304E-2</v>
      </c>
      <c r="E31" s="53">
        <f t="shared" si="2"/>
        <v>-2.3255813953488524E-2</v>
      </c>
      <c r="F31" s="53">
        <f t="shared" si="2"/>
        <v>-1.2673879443585889E-2</v>
      </c>
      <c r="G31" s="53">
        <f t="shared" si="2"/>
        <v>-3.3549146556798193E-2</v>
      </c>
      <c r="H31" s="53">
        <f t="shared" si="2"/>
        <v>-2.0364085158901646E-2</v>
      </c>
      <c r="I31" s="53">
        <f t="shared" si="2"/>
        <v>-1.3906056860321425E-2</v>
      </c>
    </row>
    <row r="32" spans="2:13" x14ac:dyDescent="0.3">
      <c r="B32" s="52">
        <f t="shared" si="2"/>
        <v>4.2270531400967482E-3</v>
      </c>
      <c r="C32" s="53">
        <f t="shared" si="2"/>
        <v>-2.4212092519951156E-2</v>
      </c>
      <c r="D32" s="53">
        <f t="shared" si="2"/>
        <v>2.4133663366336711E-2</v>
      </c>
      <c r="E32" s="53">
        <f t="shared" si="2"/>
        <v>5.4894179894179995E-2</v>
      </c>
      <c r="F32" s="53">
        <f t="shared" si="2"/>
        <v>-2.8177833437694755E-3</v>
      </c>
      <c r="G32" s="53">
        <f t="shared" si="2"/>
        <v>5.0548112058465433E-2</v>
      </c>
      <c r="H32" s="53">
        <f t="shared" si="2"/>
        <v>4.6299212598425177E-2</v>
      </c>
      <c r="I32" s="53">
        <f t="shared" si="2"/>
        <v>2.0996552804763091E-2</v>
      </c>
    </row>
    <row r="33" spans="2:9" x14ac:dyDescent="0.3">
      <c r="B33" s="52">
        <f t="shared" ref="B33:I42" si="3">B122/B121-1</f>
        <v>-4.8105832832231465E-3</v>
      </c>
      <c r="C33" s="53">
        <f t="shared" si="3"/>
        <v>5.2213288975140326E-3</v>
      </c>
      <c r="D33" s="53">
        <f t="shared" si="3"/>
        <v>-7.8549848942598421E-3</v>
      </c>
      <c r="E33" s="53">
        <f t="shared" si="3"/>
        <v>-2.3824451410658365E-2</v>
      </c>
      <c r="F33" s="53">
        <f t="shared" si="3"/>
        <v>1.098901098901095E-2</v>
      </c>
      <c r="G33" s="53">
        <f t="shared" si="3"/>
        <v>-1.9710144927536311E-2</v>
      </c>
      <c r="H33" s="53">
        <f t="shared" si="3"/>
        <v>-2.9199277543648372E-2</v>
      </c>
      <c r="I33" s="53">
        <f t="shared" si="3"/>
        <v>-1.227747084100661E-2</v>
      </c>
    </row>
    <row r="34" spans="2:9" x14ac:dyDescent="0.3">
      <c r="B34" s="52">
        <f t="shared" si="3"/>
        <v>-5.4380664652567967E-3</v>
      </c>
      <c r="C34" s="53">
        <f t="shared" si="3"/>
        <v>1.0526315789473939E-2</v>
      </c>
      <c r="D34" s="53">
        <f t="shared" si="3"/>
        <v>-1.218026796589522E-2</v>
      </c>
      <c r="E34" s="53">
        <f t="shared" si="3"/>
        <v>-2.247912652536932E-2</v>
      </c>
      <c r="F34" s="53">
        <f t="shared" si="3"/>
        <v>-1.273291925465847E-2</v>
      </c>
      <c r="G34" s="53">
        <f t="shared" si="3"/>
        <v>-3.3116499112950892E-2</v>
      </c>
      <c r="H34" s="53">
        <f t="shared" si="3"/>
        <v>-2.2015503875969067E-2</v>
      </c>
      <c r="I34" s="53">
        <f t="shared" si="3"/>
        <v>-1.3983840894965849E-2</v>
      </c>
    </row>
    <row r="35" spans="2:9" x14ac:dyDescent="0.3">
      <c r="B35" s="52">
        <f t="shared" si="3"/>
        <v>-3.6452004860266785E-3</v>
      </c>
      <c r="C35" s="53">
        <f t="shared" si="3"/>
        <v>-2.947598253275141E-2</v>
      </c>
      <c r="D35" s="53">
        <f t="shared" si="3"/>
        <v>9.2478421701602809E-3</v>
      </c>
      <c r="E35" s="53">
        <f t="shared" si="3"/>
        <v>3.6793692509855536E-2</v>
      </c>
      <c r="F35" s="53">
        <f t="shared" si="3"/>
        <v>-9.4369298521534972E-4</v>
      </c>
      <c r="G35" s="53">
        <f t="shared" si="3"/>
        <v>5.1376146788990829E-2</v>
      </c>
      <c r="H35" s="53">
        <f t="shared" si="3"/>
        <v>5.0095117311350634E-2</v>
      </c>
      <c r="I35" s="53">
        <f t="shared" si="3"/>
        <v>2.1115663410022023E-2</v>
      </c>
    </row>
    <row r="36" spans="2:9" x14ac:dyDescent="0.3">
      <c r="B36" s="52">
        <f t="shared" si="3"/>
        <v>-4.8780487804879202E-3</v>
      </c>
      <c r="C36" s="53">
        <f t="shared" si="3"/>
        <v>3.937007874015741E-3</v>
      </c>
      <c r="D36" s="53">
        <f t="shared" si="3"/>
        <v>-6.7196090409284981E-3</v>
      </c>
      <c r="E36" s="53">
        <f t="shared" si="3"/>
        <v>-2.4081115335868208E-2</v>
      </c>
      <c r="F36" s="53">
        <f t="shared" si="3"/>
        <v>6.297229219143663E-3</v>
      </c>
      <c r="G36" s="53">
        <f t="shared" si="3"/>
        <v>-2.0360674810936619E-2</v>
      </c>
      <c r="H36" s="53">
        <f t="shared" si="3"/>
        <v>-2.9589371980676349E-2</v>
      </c>
      <c r="I36" s="53">
        <f t="shared" si="3"/>
        <v>-1.2345679012345734E-2</v>
      </c>
    </row>
    <row r="37" spans="2:9" x14ac:dyDescent="0.3">
      <c r="B37" s="52">
        <f t="shared" si="3"/>
        <v>-5.5147058823528106E-3</v>
      </c>
      <c r="C37" s="53">
        <f t="shared" si="3"/>
        <v>7.4229691876750437E-3</v>
      </c>
      <c r="D37" s="53">
        <f t="shared" si="3"/>
        <v>-1.1070110701106861E-2</v>
      </c>
      <c r="E37" s="53">
        <f t="shared" si="3"/>
        <v>-2.2727272727272707E-2</v>
      </c>
      <c r="F37" s="53">
        <f t="shared" si="3"/>
        <v>-1.3141426783479515E-2</v>
      </c>
      <c r="G37" s="53">
        <f t="shared" si="3"/>
        <v>-3.3254156769596199E-2</v>
      </c>
      <c r="H37" s="53">
        <f t="shared" si="3"/>
        <v>-2.2401991288114265E-2</v>
      </c>
      <c r="I37" s="53">
        <f t="shared" si="3"/>
        <v>-1.3749999999999929E-2</v>
      </c>
    </row>
    <row r="38" spans="2:9" x14ac:dyDescent="0.3">
      <c r="B38" s="52">
        <f t="shared" si="3"/>
        <v>8.687615526802217E-2</v>
      </c>
      <c r="C38" s="53">
        <f t="shared" si="3"/>
        <v>5.0929144075258392E-2</v>
      </c>
      <c r="D38" s="53">
        <f t="shared" si="3"/>
        <v>0.11753731343283569</v>
      </c>
      <c r="E38" s="53">
        <f t="shared" si="3"/>
        <v>0.10897009966777405</v>
      </c>
      <c r="F38" s="53">
        <f t="shared" si="3"/>
        <v>6.4362714013950661E-2</v>
      </c>
      <c r="G38" s="53">
        <f t="shared" si="3"/>
        <v>0.10687960687960674</v>
      </c>
      <c r="H38" s="53">
        <f t="shared" si="3"/>
        <v>0.10184595798854224</v>
      </c>
      <c r="I38" s="53">
        <f t="shared" si="3"/>
        <v>8.9670468948035431E-2</v>
      </c>
    </row>
    <row r="39" spans="2:9" x14ac:dyDescent="0.3">
      <c r="B39" s="52">
        <f t="shared" si="3"/>
        <v>-6.2358276643990074E-3</v>
      </c>
      <c r="C39" s="53">
        <f t="shared" si="3"/>
        <v>5.7765235029543227E-3</v>
      </c>
      <c r="D39" s="53">
        <f t="shared" si="3"/>
        <v>-1.1129660545352582E-3</v>
      </c>
      <c r="E39" s="53">
        <f t="shared" si="3"/>
        <v>-2.7561414020371489E-2</v>
      </c>
      <c r="F39" s="53">
        <f t="shared" si="3"/>
        <v>9.8302055406613853E-3</v>
      </c>
      <c r="G39" s="53">
        <f t="shared" si="3"/>
        <v>-1.3318534961154094E-2</v>
      </c>
      <c r="H39" s="53">
        <f t="shared" si="3"/>
        <v>-1.5886770652801863E-2</v>
      </c>
      <c r="I39" s="53">
        <f t="shared" si="3"/>
        <v>-9.5958127362604229E-3</v>
      </c>
    </row>
    <row r="40" spans="2:9" x14ac:dyDescent="0.3">
      <c r="B40" s="52">
        <f t="shared" si="3"/>
        <v>-6.8454078722191003E-3</v>
      </c>
      <c r="C40" s="53">
        <f t="shared" si="3"/>
        <v>1.1179797448375606E-2</v>
      </c>
      <c r="D40" s="53">
        <f t="shared" si="3"/>
        <v>-1.6713091922005985E-3</v>
      </c>
      <c r="E40" s="53">
        <f t="shared" si="3"/>
        <v>-2.5261860751694565E-2</v>
      </c>
      <c r="F40" s="53">
        <f t="shared" si="3"/>
        <v>-1.3274336283185861E-2</v>
      </c>
      <c r="G40" s="53">
        <f t="shared" si="3"/>
        <v>-2.2497187851518552E-2</v>
      </c>
      <c r="H40" s="53">
        <f t="shared" si="3"/>
        <v>-1.1740534194305652E-2</v>
      </c>
      <c r="I40" s="53">
        <f t="shared" si="3"/>
        <v>-9.9823840281856313E-3</v>
      </c>
    </row>
    <row r="41" spans="2:9" x14ac:dyDescent="0.3">
      <c r="B41" s="52">
        <f t="shared" si="3"/>
        <v>2.1826536473291247E-2</v>
      </c>
      <c r="C41" s="53">
        <f t="shared" si="3"/>
        <v>-9.4953173777315714E-3</v>
      </c>
      <c r="D41" s="53">
        <f t="shared" si="3"/>
        <v>8.9285714285716189E-3</v>
      </c>
      <c r="E41" s="53">
        <f t="shared" si="3"/>
        <v>5.8154235145385647E-2</v>
      </c>
      <c r="F41" s="53">
        <f t="shared" si="3"/>
        <v>1.0463378176382765E-2</v>
      </c>
      <c r="G41" s="53">
        <f t="shared" si="3"/>
        <v>4.2577675489067657E-2</v>
      </c>
      <c r="H41" s="53">
        <f t="shared" si="3"/>
        <v>3.0888030888030826E-2</v>
      </c>
      <c r="I41" s="53">
        <f t="shared" si="3"/>
        <v>2.5800711743772187E-2</v>
      </c>
    </row>
    <row r="42" spans="2:9" x14ac:dyDescent="0.3">
      <c r="B42" s="52">
        <f t="shared" si="3"/>
        <v>-6.7453625632378778E-3</v>
      </c>
      <c r="C42" s="53">
        <f t="shared" si="3"/>
        <v>5.6029765813090382E-3</v>
      </c>
      <c r="D42" s="53">
        <f t="shared" si="3"/>
        <v>-1.6592920353982743E-3</v>
      </c>
      <c r="E42" s="53">
        <f t="shared" si="3"/>
        <v>-2.6881720430107503E-2</v>
      </c>
      <c r="F42" s="53">
        <f t="shared" si="3"/>
        <v>1.0650887573964596E-2</v>
      </c>
      <c r="G42" s="53">
        <f t="shared" si="3"/>
        <v>-1.3796909492273746E-2</v>
      </c>
      <c r="H42" s="53">
        <f t="shared" si="3"/>
        <v>-1.58455776433305E-2</v>
      </c>
      <c r="I42" s="53">
        <f t="shared" si="3"/>
        <v>-9.5403295750216E-3</v>
      </c>
    </row>
    <row r="43" spans="2:9" x14ac:dyDescent="0.3">
      <c r="B43" s="52">
        <f t="shared" ref="B43:I52" si="4">B132/B131-1</f>
        <v>-7.9230333899262817E-3</v>
      </c>
      <c r="C43" s="53">
        <f t="shared" si="4"/>
        <v>1.0882340138423263E-2</v>
      </c>
      <c r="D43" s="53">
        <f t="shared" si="4"/>
        <v>-2.7700831024930483E-3</v>
      </c>
      <c r="E43" s="53">
        <f t="shared" si="4"/>
        <v>-2.5168815224063779E-2</v>
      </c>
      <c r="F43" s="53">
        <f t="shared" si="4"/>
        <v>-1.2880562060890055E-2</v>
      </c>
      <c r="G43" s="53">
        <f t="shared" si="4"/>
        <v>-2.2383883603805277E-2</v>
      </c>
      <c r="H43" s="53">
        <f t="shared" si="4"/>
        <v>-1.2002341920374748E-2</v>
      </c>
      <c r="I43" s="53">
        <f t="shared" si="4"/>
        <v>-1.0215995329830752E-2</v>
      </c>
    </row>
    <row r="44" spans="2:9" x14ac:dyDescent="0.3">
      <c r="B44" s="52">
        <f t="shared" si="4"/>
        <v>1.426126640045644E-2</v>
      </c>
      <c r="C44" s="53">
        <f t="shared" si="4"/>
        <v>-1.4899022520776906E-2</v>
      </c>
      <c r="D44" s="53">
        <f t="shared" si="4"/>
        <v>1.0555555555555651E-2</v>
      </c>
      <c r="E44" s="53">
        <f t="shared" si="4"/>
        <v>5.4785894206549113E-2</v>
      </c>
      <c r="F44" s="53">
        <f t="shared" si="4"/>
        <v>7.4139976275207076E-3</v>
      </c>
      <c r="G44" s="53">
        <f t="shared" si="4"/>
        <v>4.3503148254150137E-2</v>
      </c>
      <c r="H44" s="53">
        <f t="shared" si="4"/>
        <v>3.0222222222222372E-2</v>
      </c>
      <c r="I44" s="53">
        <f t="shared" si="4"/>
        <v>2.6245945148923644E-2</v>
      </c>
    </row>
    <row r="45" spans="2:9" x14ac:dyDescent="0.3">
      <c r="B45" s="52">
        <f t="shared" si="4"/>
        <v>-7.311586051743646E-3</v>
      </c>
      <c r="C45" s="53">
        <f t="shared" si="4"/>
        <v>3.9777942912095909E-3</v>
      </c>
      <c r="D45" s="53">
        <f t="shared" si="4"/>
        <v>-3.2985156679493643E-3</v>
      </c>
      <c r="E45" s="53">
        <f t="shared" si="4"/>
        <v>-2.68656716417911E-2</v>
      </c>
      <c r="F45" s="53">
        <f t="shared" si="4"/>
        <v>1.0303208713571044E-2</v>
      </c>
      <c r="G45" s="53">
        <f t="shared" si="4"/>
        <v>-1.3713658804168971E-2</v>
      </c>
      <c r="H45" s="53">
        <f t="shared" si="4"/>
        <v>-1.5818234109864937E-2</v>
      </c>
      <c r="I45" s="53">
        <f t="shared" si="4"/>
        <v>-9.4827586206897019E-3</v>
      </c>
    </row>
    <row r="46" spans="2:9" x14ac:dyDescent="0.3">
      <c r="B46" s="52">
        <f t="shared" si="4"/>
        <v>-1.3597733711048221E-2</v>
      </c>
      <c r="C46" s="53">
        <f t="shared" si="4"/>
        <v>7.6628352490422103E-3</v>
      </c>
      <c r="D46" s="53">
        <f t="shared" si="4"/>
        <v>-5.5157198014340603E-3</v>
      </c>
      <c r="E46" s="53">
        <f t="shared" si="4"/>
        <v>-2.51533742331288E-2</v>
      </c>
      <c r="F46" s="53">
        <f t="shared" si="4"/>
        <v>-1.3111888111888126E-2</v>
      </c>
      <c r="G46" s="53">
        <f t="shared" si="4"/>
        <v>-2.2246941045606206E-2</v>
      </c>
      <c r="H46" s="53">
        <f t="shared" si="4"/>
        <v>-1.1689070718877814E-2</v>
      </c>
      <c r="I46" s="53">
        <f t="shared" si="4"/>
        <v>-1.0153756890049159E-2</v>
      </c>
    </row>
    <row r="47" spans="2:9" x14ac:dyDescent="0.3">
      <c r="B47" s="52">
        <f t="shared" si="4"/>
        <v>-9.1901206203330865E-3</v>
      </c>
      <c r="C47" s="53">
        <f t="shared" si="4"/>
        <v>-3.7849982716902875E-2</v>
      </c>
      <c r="D47" s="53">
        <f t="shared" si="4"/>
        <v>-2.7731558513588439E-2</v>
      </c>
      <c r="E47" s="53">
        <f t="shared" si="4"/>
        <v>5.1604782882315847E-2</v>
      </c>
      <c r="F47" s="53">
        <f t="shared" si="4"/>
        <v>-6.7906702096252047E-3</v>
      </c>
      <c r="G47" s="53">
        <f t="shared" si="4"/>
        <v>1.0807736063708662E-2</v>
      </c>
      <c r="H47" s="53">
        <f t="shared" si="4"/>
        <v>3.548196333530429E-3</v>
      </c>
      <c r="I47" s="53">
        <f t="shared" si="4"/>
        <v>-5.2754982415007534E-3</v>
      </c>
    </row>
    <row r="48" spans="2:9" x14ac:dyDescent="0.3">
      <c r="B48" s="52">
        <f t="shared" si="4"/>
        <v>-4.6376811594203149E-3</v>
      </c>
      <c r="C48" s="53">
        <f t="shared" si="4"/>
        <v>5.4338063589010055E-3</v>
      </c>
      <c r="D48" s="53">
        <f t="shared" si="4"/>
        <v>-3.993154592127901E-3</v>
      </c>
      <c r="E48" s="53">
        <f t="shared" si="4"/>
        <v>-2.4536205864751581E-2</v>
      </c>
      <c r="F48" s="53">
        <f t="shared" si="4"/>
        <v>-1.0998810939357839E-2</v>
      </c>
      <c r="G48" s="53">
        <f t="shared" si="4"/>
        <v>-1.63196398424309E-2</v>
      </c>
      <c r="H48" s="53">
        <f t="shared" si="4"/>
        <v>-1.8856806128461967E-2</v>
      </c>
      <c r="I48" s="53">
        <f t="shared" si="4"/>
        <v>-1.0312315851502607E-2</v>
      </c>
    </row>
    <row r="49" spans="2:9" x14ac:dyDescent="0.3">
      <c r="B49" s="52">
        <f t="shared" si="4"/>
        <v>-5.2417006406522137E-3</v>
      </c>
      <c r="C49" s="53">
        <f t="shared" si="4"/>
        <v>1.0406896243690955E-2</v>
      </c>
      <c r="D49" s="53">
        <f t="shared" si="4"/>
        <v>-6.3001145475372056E-3</v>
      </c>
      <c r="E49" s="53">
        <f t="shared" si="4"/>
        <v>-2.2085889570552131E-2</v>
      </c>
      <c r="F49" s="53">
        <f t="shared" si="4"/>
        <v>-1.2323414487526163E-2</v>
      </c>
      <c r="G49" s="53">
        <f t="shared" si="4"/>
        <v>-2.6887871853547018E-2</v>
      </c>
      <c r="H49" s="53">
        <f t="shared" si="4"/>
        <v>-1.3813813813813858E-2</v>
      </c>
      <c r="I49" s="53">
        <f t="shared" si="4"/>
        <v>-1.1610598392378657E-2</v>
      </c>
    </row>
    <row r="50" spans="2:9" x14ac:dyDescent="0.3">
      <c r="B50" s="52">
        <f t="shared" si="4"/>
        <v>-1.2295081967213295E-2</v>
      </c>
      <c r="C50" s="53">
        <f t="shared" si="4"/>
        <v>-3.6734152594819269E-2</v>
      </c>
      <c r="D50" s="53">
        <f t="shared" si="4"/>
        <v>-2.6512968299711837E-2</v>
      </c>
      <c r="E50" s="53">
        <f t="shared" si="4"/>
        <v>1.6311166875784044E-2</v>
      </c>
      <c r="F50" s="53">
        <f t="shared" si="4"/>
        <v>9.7382836275106133E-3</v>
      </c>
      <c r="G50" s="53">
        <f t="shared" si="4"/>
        <v>3.4685479129923591E-2</v>
      </c>
      <c r="H50" s="53">
        <f t="shared" si="4"/>
        <v>2.679658952496955E-2</v>
      </c>
      <c r="I50" s="53">
        <f t="shared" si="4"/>
        <v>1.1144578313253106E-2</v>
      </c>
    </row>
    <row r="51" spans="2:9" x14ac:dyDescent="0.3">
      <c r="B51" s="52">
        <f t="shared" si="4"/>
        <v>-5.927682276229973E-3</v>
      </c>
      <c r="C51" s="53">
        <f t="shared" si="4"/>
        <v>2.3404157679776105E-3</v>
      </c>
      <c r="D51" s="53">
        <f t="shared" si="4"/>
        <v>-1.0065127294257015E-2</v>
      </c>
      <c r="E51" s="53">
        <f t="shared" si="4"/>
        <v>-2.5308641975308577E-2</v>
      </c>
      <c r="F51" s="53">
        <f t="shared" si="4"/>
        <v>-1.1151295961422503E-2</v>
      </c>
      <c r="G51" s="53">
        <f t="shared" si="4"/>
        <v>-1.7045454545454586E-2</v>
      </c>
      <c r="H51" s="53">
        <f t="shared" si="4"/>
        <v>-2.3428232502965551E-2</v>
      </c>
      <c r="I51" s="53">
        <f t="shared" si="4"/>
        <v>-1.1617515638963627E-2</v>
      </c>
    </row>
    <row r="52" spans="2:9" x14ac:dyDescent="0.3">
      <c r="B52" s="52">
        <f t="shared" si="4"/>
        <v>-7.1556350626117426E-3</v>
      </c>
      <c r="C52" s="53">
        <f t="shared" si="4"/>
        <v>5.53978573390701E-3</v>
      </c>
      <c r="D52" s="53">
        <f t="shared" si="4"/>
        <v>-1.6148325358851578E-2</v>
      </c>
      <c r="E52" s="53">
        <f t="shared" si="4"/>
        <v>-2.3432552248258465E-2</v>
      </c>
      <c r="F52" s="53">
        <f t="shared" si="4"/>
        <v>-1.2800975312404872E-2</v>
      </c>
      <c r="G52" s="53">
        <f t="shared" si="4"/>
        <v>-2.774566473988449E-2</v>
      </c>
      <c r="H52" s="53">
        <f t="shared" si="4"/>
        <v>-1.7613118736714228E-2</v>
      </c>
      <c r="I52" s="53">
        <f t="shared" si="4"/>
        <v>-1.3261000602772688E-2</v>
      </c>
    </row>
    <row r="53" spans="2:9" x14ac:dyDescent="0.3">
      <c r="B53" s="52">
        <f t="shared" ref="B53:I62" si="5">B142/B141-1</f>
        <v>4.2642642642642503E-2</v>
      </c>
      <c r="C53" s="53">
        <f t="shared" si="5"/>
        <v>2.3676182670855583E-2</v>
      </c>
      <c r="D53" s="53">
        <f t="shared" si="5"/>
        <v>7.4164133738601645E-2</v>
      </c>
      <c r="E53" s="53">
        <f t="shared" si="5"/>
        <v>7.3281452658884749E-2</v>
      </c>
      <c r="F53" s="53">
        <f t="shared" si="5"/>
        <v>4.0753318925594417E-2</v>
      </c>
      <c r="G53" s="53">
        <f t="shared" si="5"/>
        <v>5.9453032104637371E-2</v>
      </c>
      <c r="H53" s="53">
        <f t="shared" si="5"/>
        <v>5.2859350850077425E-2</v>
      </c>
      <c r="I53" s="53">
        <f t="shared" si="5"/>
        <v>4.0012217470983602E-2</v>
      </c>
    </row>
    <row r="54" spans="2:9" x14ac:dyDescent="0.3">
      <c r="B54" s="52">
        <f t="shared" si="5"/>
        <v>-5.7603686635944173E-3</v>
      </c>
      <c r="C54" s="53">
        <f t="shared" si="5"/>
        <v>6.0490148111904674E-3</v>
      </c>
      <c r="D54" s="53">
        <f t="shared" si="5"/>
        <v>-3.9615166949631408E-3</v>
      </c>
      <c r="E54" s="53">
        <f t="shared" si="5"/>
        <v>-2.6586102719033278E-2</v>
      </c>
      <c r="F54" s="53">
        <f t="shared" si="5"/>
        <v>-1.1569267279738837E-2</v>
      </c>
      <c r="G54" s="53">
        <f t="shared" si="5"/>
        <v>-1.5712682379348974E-2</v>
      </c>
      <c r="H54" s="53">
        <f t="shared" si="5"/>
        <v>-1.7028772753963639E-2</v>
      </c>
      <c r="I54" s="53">
        <f t="shared" si="5"/>
        <v>-1.0572687224669641E-2</v>
      </c>
    </row>
    <row r="55" spans="2:9" x14ac:dyDescent="0.3">
      <c r="B55" s="52">
        <f t="shared" si="5"/>
        <v>-6.9524913093857998E-3</v>
      </c>
      <c r="C55" s="53">
        <f t="shared" si="5"/>
        <v>1.1317918564039076E-2</v>
      </c>
      <c r="D55" s="53">
        <f t="shared" si="5"/>
        <v>-6.2499999999999778E-3</v>
      </c>
      <c r="E55" s="53">
        <f t="shared" si="5"/>
        <v>-2.4208566108007479E-2</v>
      </c>
      <c r="F55" s="53">
        <f t="shared" si="5"/>
        <v>-1.290516206482617E-2</v>
      </c>
      <c r="G55" s="53">
        <f t="shared" si="5"/>
        <v>-2.5655644241733166E-2</v>
      </c>
      <c r="H55" s="53">
        <f t="shared" si="5"/>
        <v>-1.2544802867383464E-2</v>
      </c>
      <c r="I55" s="53">
        <f t="shared" si="5"/>
        <v>-1.1576135351736405E-2</v>
      </c>
    </row>
    <row r="56" spans="2:9" x14ac:dyDescent="0.3">
      <c r="B56" s="52">
        <f t="shared" si="5"/>
        <v>1.6919486581096876E-2</v>
      </c>
      <c r="C56" s="53">
        <f t="shared" si="5"/>
        <v>-1.5300546448087315E-2</v>
      </c>
      <c r="D56" s="53">
        <f t="shared" si="5"/>
        <v>2.6872498570611691E-2</v>
      </c>
      <c r="E56" s="53">
        <f t="shared" si="5"/>
        <v>5.7888040712468447E-2</v>
      </c>
      <c r="F56" s="53">
        <f t="shared" si="5"/>
        <v>3.1012465795074551E-2</v>
      </c>
      <c r="G56" s="53">
        <f t="shared" si="5"/>
        <v>4.6225863077823393E-2</v>
      </c>
      <c r="H56" s="53">
        <f t="shared" si="5"/>
        <v>3.8415003024803163E-2</v>
      </c>
      <c r="I56" s="53">
        <f t="shared" si="5"/>
        <v>2.5525525525525561E-2</v>
      </c>
    </row>
    <row r="57" spans="2:9" x14ac:dyDescent="0.3">
      <c r="B57" s="52">
        <f t="shared" si="5"/>
        <v>-5.1635111876076056E-3</v>
      </c>
      <c r="C57" s="53">
        <f t="shared" si="5"/>
        <v>6.1265260821310452E-3</v>
      </c>
      <c r="D57" s="53">
        <f t="shared" si="5"/>
        <v>0</v>
      </c>
      <c r="E57" s="53">
        <f t="shared" si="5"/>
        <v>-2.8262176788935722E-2</v>
      </c>
      <c r="F57" s="53">
        <f t="shared" si="5"/>
        <v>-1.1501032143910295E-2</v>
      </c>
      <c r="G57" s="53">
        <f t="shared" si="5"/>
        <v>-1.5100671140939714E-2</v>
      </c>
      <c r="H57" s="53">
        <f t="shared" si="5"/>
        <v>-1.6312263326536347E-2</v>
      </c>
      <c r="I57" s="53">
        <f t="shared" si="5"/>
        <v>-9.9560761346997317E-3</v>
      </c>
    </row>
    <row r="58" spans="2:9" x14ac:dyDescent="0.3">
      <c r="B58" s="52">
        <f t="shared" si="5"/>
        <v>-6.3437139561706157E-3</v>
      </c>
      <c r="C58" s="53">
        <f t="shared" si="5"/>
        <v>1.1163570577593429E-2</v>
      </c>
      <c r="D58" s="53">
        <f t="shared" si="5"/>
        <v>-5.5679287305121505E-4</v>
      </c>
      <c r="E58" s="53">
        <f t="shared" si="5"/>
        <v>-2.5990099009900902E-2</v>
      </c>
      <c r="F58" s="53">
        <f t="shared" si="5"/>
        <v>-1.2828162291169676E-2</v>
      </c>
      <c r="G58" s="53">
        <f t="shared" si="5"/>
        <v>-2.4985803520726879E-2</v>
      </c>
      <c r="H58" s="53">
        <f t="shared" si="5"/>
        <v>-1.1844832691738416E-2</v>
      </c>
      <c r="I58" s="53">
        <f t="shared" si="5"/>
        <v>-1.0647737355811926E-2</v>
      </c>
    </row>
    <row r="59" spans="2:9" x14ac:dyDescent="0.3">
      <c r="B59" s="52">
        <f t="shared" si="5"/>
        <v>-3.4242600116076605E-2</v>
      </c>
      <c r="C59" s="53">
        <f t="shared" si="5"/>
        <v>-6.0481759469366403E-2</v>
      </c>
      <c r="D59" s="53">
        <f t="shared" si="5"/>
        <v>-7.6323119777158666E-2</v>
      </c>
      <c r="E59" s="53">
        <f t="shared" si="5"/>
        <v>2.1601016518424387E-2</v>
      </c>
      <c r="F59" s="53">
        <f t="shared" si="5"/>
        <v>-4.5330915684497208E-3</v>
      </c>
      <c r="G59" s="53">
        <f t="shared" si="5"/>
        <v>1.7472335468841083E-2</v>
      </c>
      <c r="H59" s="53">
        <f t="shared" si="5"/>
        <v>3.2963739886124888E-3</v>
      </c>
      <c r="I59" s="53">
        <f t="shared" si="5"/>
        <v>-1.4050822122571138E-2</v>
      </c>
    </row>
    <row r="60" spans="2:9" x14ac:dyDescent="0.3">
      <c r="B60" s="52">
        <f t="shared" si="5"/>
        <v>-4.2067307692308376E-3</v>
      </c>
      <c r="C60" s="53">
        <f t="shared" si="5"/>
        <v>5.2020436600093145E-3</v>
      </c>
      <c r="D60" s="53">
        <f t="shared" si="5"/>
        <v>-9.6501809408927608E-3</v>
      </c>
      <c r="E60" s="53">
        <f t="shared" si="5"/>
        <v>-2.6741293532338339E-2</v>
      </c>
      <c r="F60" s="53">
        <f t="shared" si="5"/>
        <v>-1.1536126290224491E-2</v>
      </c>
      <c r="G60" s="53">
        <f t="shared" si="5"/>
        <v>-1.8889524899828203E-2</v>
      </c>
      <c r="H60" s="53">
        <f t="shared" si="5"/>
        <v>-2.6583034647550852E-2</v>
      </c>
      <c r="I60" s="53">
        <f t="shared" si="5"/>
        <v>-1.2431776834444963E-2</v>
      </c>
    </row>
    <row r="61" spans="2:9" x14ac:dyDescent="0.3">
      <c r="B61" s="52">
        <f t="shared" si="5"/>
        <v>-4.2245021122510051E-3</v>
      </c>
      <c r="C61" s="53">
        <f t="shared" si="5"/>
        <v>1.039645134460776E-2</v>
      </c>
      <c r="D61" s="53">
        <f t="shared" si="5"/>
        <v>-1.5834348355663774E-2</v>
      </c>
      <c r="E61" s="53">
        <f t="shared" si="5"/>
        <v>-2.4281150159744525E-2</v>
      </c>
      <c r="F61" s="53">
        <f t="shared" si="5"/>
        <v>-1.3206388206388198E-2</v>
      </c>
      <c r="G61" s="53">
        <f t="shared" si="5"/>
        <v>-3.0921820303383973E-2</v>
      </c>
      <c r="H61" s="53">
        <f t="shared" si="5"/>
        <v>-1.9944768333844731E-2</v>
      </c>
      <c r="I61" s="53">
        <f t="shared" si="5"/>
        <v>-1.3202333435677005E-2</v>
      </c>
    </row>
    <row r="62" spans="2:9" x14ac:dyDescent="0.3">
      <c r="B62" s="52">
        <f t="shared" si="5"/>
        <v>1.0303030303030258E-2</v>
      </c>
      <c r="C62" s="53">
        <f t="shared" si="5"/>
        <v>-1.6600356701879426E-2</v>
      </c>
      <c r="D62" s="53">
        <f t="shared" si="5"/>
        <v>3.5891089108911034E-2</v>
      </c>
      <c r="E62" s="53">
        <f t="shared" si="5"/>
        <v>5.5664702030124413E-2</v>
      </c>
      <c r="F62" s="53">
        <f t="shared" si="5"/>
        <v>3.0812324929971879E-2</v>
      </c>
      <c r="G62" s="53">
        <f t="shared" si="5"/>
        <v>5.5388320288982662E-2</v>
      </c>
      <c r="H62" s="53">
        <f t="shared" si="5"/>
        <v>5.134627426424565E-2</v>
      </c>
      <c r="I62" s="53">
        <f t="shared" si="5"/>
        <v>3.2358431860610049E-2</v>
      </c>
    </row>
    <row r="63" spans="2:9" x14ac:dyDescent="0.3">
      <c r="B63" s="52">
        <f t="shared" ref="B63:I72" si="6">B152/B151-1</f>
        <v>-3.5992801439711508E-3</v>
      </c>
      <c r="C63" s="53">
        <f t="shared" si="6"/>
        <v>5.0223214285716189E-3</v>
      </c>
      <c r="D63" s="53">
        <f t="shared" si="6"/>
        <v>-1.0155316606929587E-2</v>
      </c>
      <c r="E63" s="53">
        <f t="shared" si="6"/>
        <v>-2.6674937965260437E-2</v>
      </c>
      <c r="F63" s="53">
        <f t="shared" si="6"/>
        <v>-1.1775362318840465E-2</v>
      </c>
      <c r="G63" s="53">
        <f t="shared" si="6"/>
        <v>-1.7683970336565991E-2</v>
      </c>
      <c r="H63" s="53">
        <f t="shared" si="6"/>
        <v>-2.4717093508040522E-2</v>
      </c>
      <c r="I63" s="53">
        <f t="shared" si="6"/>
        <v>-1.175406871609419E-2</v>
      </c>
    </row>
    <row r="64" spans="2:9" x14ac:dyDescent="0.3">
      <c r="B64" s="52">
        <f t="shared" si="6"/>
        <v>-3.6122817579771205E-3</v>
      </c>
      <c r="C64" s="53">
        <f t="shared" si="6"/>
        <v>1.0318341662039376E-2</v>
      </c>
      <c r="D64" s="53">
        <f t="shared" si="6"/>
        <v>-1.6294508147253972E-2</v>
      </c>
      <c r="E64" s="53">
        <f t="shared" si="6"/>
        <v>-2.4219247928617071E-2</v>
      </c>
      <c r="F64" s="53">
        <f t="shared" si="6"/>
        <v>-1.3443324167430548E-2</v>
      </c>
      <c r="G64" s="53">
        <f t="shared" si="6"/>
        <v>-2.9036004645760727E-2</v>
      </c>
      <c r="H64" s="53">
        <f t="shared" si="6"/>
        <v>-1.8320610687022953E-2</v>
      </c>
      <c r="I64" s="53">
        <f t="shared" si="6"/>
        <v>-1.3113754193351479E-2</v>
      </c>
    </row>
    <row r="65" spans="2:9" x14ac:dyDescent="0.3">
      <c r="B65" s="52">
        <f t="shared" si="6"/>
        <v>7.0090634441087651E-2</v>
      </c>
      <c r="C65" s="53">
        <f t="shared" si="6"/>
        <v>4.2866956720860827E-2</v>
      </c>
      <c r="D65" s="53">
        <f t="shared" si="6"/>
        <v>0.12147239263803677</v>
      </c>
      <c r="E65" s="53">
        <f t="shared" si="6"/>
        <v>9.6015676028739394E-2</v>
      </c>
      <c r="F65" s="53">
        <f t="shared" si="6"/>
        <v>7.4945803654382415E-2</v>
      </c>
      <c r="G65" s="53">
        <f t="shared" si="6"/>
        <v>9.7488038277512068E-2</v>
      </c>
      <c r="H65" s="53">
        <f t="shared" si="6"/>
        <v>8.3981337480559803E-2</v>
      </c>
      <c r="I65" s="53">
        <f t="shared" si="6"/>
        <v>8.5290482076637808E-2</v>
      </c>
    </row>
    <row r="66" spans="2:9" x14ac:dyDescent="0.3">
      <c r="B66" s="52">
        <f t="shared" si="6"/>
        <v>-7.905138339921014E-3</v>
      </c>
      <c r="C66" s="53">
        <f t="shared" si="6"/>
        <v>2.7666769136183156E-3</v>
      </c>
      <c r="D66" s="53">
        <f t="shared" si="6"/>
        <v>-4.3763676148796948E-3</v>
      </c>
      <c r="E66" s="53">
        <f t="shared" si="6"/>
        <v>-2.6221692491060766E-2</v>
      </c>
      <c r="F66" s="53">
        <f t="shared" si="6"/>
        <v>-1.2388360702967671E-2</v>
      </c>
      <c r="G66" s="53">
        <f t="shared" si="6"/>
        <v>-1.3079019073569564E-2</v>
      </c>
      <c r="H66" s="53">
        <f t="shared" si="6"/>
        <v>-1.5781922525107572E-2</v>
      </c>
      <c r="I66" s="53">
        <f t="shared" si="6"/>
        <v>-9.6810933940774113E-3</v>
      </c>
    </row>
    <row r="67" spans="2:9" x14ac:dyDescent="0.3">
      <c r="B67" s="52">
        <f t="shared" si="6"/>
        <v>-9.1064314171883654E-3</v>
      </c>
      <c r="C67" s="53">
        <f t="shared" si="6"/>
        <v>5.4304983796091832E-3</v>
      </c>
      <c r="D67" s="53">
        <f t="shared" si="6"/>
        <v>-7.692307692307776E-3</v>
      </c>
      <c r="E67" s="53">
        <f t="shared" si="6"/>
        <v>-2.4479804161566698E-2</v>
      </c>
      <c r="F67" s="53">
        <f t="shared" si="6"/>
        <v>-1.4002333722286875E-2</v>
      </c>
      <c r="G67" s="53">
        <f t="shared" si="6"/>
        <v>-2.1535063500828344E-2</v>
      </c>
      <c r="H67" s="53">
        <f t="shared" si="6"/>
        <v>-1.1953352769679348E-2</v>
      </c>
      <c r="I67" s="53">
        <f t="shared" si="6"/>
        <v>-1.0350776308223231E-2</v>
      </c>
    </row>
    <row r="68" spans="2:9" x14ac:dyDescent="0.3">
      <c r="B68" s="52">
        <f t="shared" si="6"/>
        <v>6.8925904652499259E-3</v>
      </c>
      <c r="C68" s="53">
        <f t="shared" si="6"/>
        <v>-1.7423120480878018E-2</v>
      </c>
      <c r="D68" s="53">
        <f t="shared" si="6"/>
        <v>-8.3056478405315604E-3</v>
      </c>
      <c r="E68" s="53">
        <f t="shared" si="6"/>
        <v>4.5169385194479217E-2</v>
      </c>
      <c r="F68" s="53">
        <f t="shared" si="6"/>
        <v>9.7633136094674722E-3</v>
      </c>
      <c r="G68" s="53">
        <f t="shared" si="6"/>
        <v>1.2415349887133331E-2</v>
      </c>
      <c r="H68" s="53">
        <f t="shared" si="6"/>
        <v>1.7999409855414594E-2</v>
      </c>
      <c r="I68" s="53">
        <f t="shared" si="6"/>
        <v>-1.4526438117373752E-3</v>
      </c>
    </row>
    <row r="69" spans="2:9" x14ac:dyDescent="0.3">
      <c r="B69" s="52">
        <f t="shared" si="6"/>
        <v>-5.7045065601825096E-3</v>
      </c>
      <c r="C69" s="53">
        <f t="shared" si="6"/>
        <v>5.9402429293378134E-3</v>
      </c>
      <c r="D69" s="53">
        <f t="shared" si="6"/>
        <v>-1.6750418760468344E-3</v>
      </c>
      <c r="E69" s="53">
        <f t="shared" si="6"/>
        <v>-2.8211284513805501E-2</v>
      </c>
      <c r="F69" s="53">
        <f t="shared" si="6"/>
        <v>-1.1133899794901869E-2</v>
      </c>
      <c r="G69" s="53">
        <f t="shared" si="6"/>
        <v>-1.4492753623188359E-2</v>
      </c>
      <c r="H69" s="53">
        <f t="shared" si="6"/>
        <v>-1.6811594202898461E-2</v>
      </c>
      <c r="I69" s="53">
        <f t="shared" si="6"/>
        <v>-9.8923479778877388E-3</v>
      </c>
    </row>
    <row r="70" spans="2:9" x14ac:dyDescent="0.3">
      <c r="B70" s="52">
        <f t="shared" si="6"/>
        <v>-6.8846815834768815E-3</v>
      </c>
      <c r="C70" s="53">
        <f t="shared" si="6"/>
        <v>1.0796756566190613E-2</v>
      </c>
      <c r="D70" s="53">
        <f t="shared" si="6"/>
        <v>-2.2371364653244186E-3</v>
      </c>
      <c r="E70" s="53">
        <f t="shared" si="6"/>
        <v>-2.5941939468807962E-2</v>
      </c>
      <c r="F70" s="53">
        <f t="shared" si="6"/>
        <v>-1.2740740740740719E-2</v>
      </c>
      <c r="G70" s="53">
        <f t="shared" si="6"/>
        <v>-2.3755656108597423E-2</v>
      </c>
      <c r="H70" s="53">
        <f t="shared" si="6"/>
        <v>-1.2382075471698228E-2</v>
      </c>
      <c r="I70" s="53">
        <f t="shared" si="6"/>
        <v>-1.0285042609462058E-2</v>
      </c>
    </row>
    <row r="71" spans="2:9" x14ac:dyDescent="0.3">
      <c r="B71" s="52">
        <f t="shared" si="6"/>
        <v>-1.328711727325238E-2</v>
      </c>
      <c r="C71" s="53">
        <f t="shared" si="6"/>
        <v>-3.7973579805554269E-2</v>
      </c>
      <c r="D71" s="53">
        <f t="shared" si="6"/>
        <v>-2.8587443946188285E-2</v>
      </c>
      <c r="E71" s="53">
        <f t="shared" si="6"/>
        <v>5.3899809765377338E-2</v>
      </c>
      <c r="F71" s="53">
        <f t="shared" si="6"/>
        <v>4.5018007202881627E-3</v>
      </c>
      <c r="G71" s="53">
        <f t="shared" si="6"/>
        <v>2.5492468134414858E-2</v>
      </c>
      <c r="H71" s="53">
        <f t="shared" si="6"/>
        <v>9.2537313432836665E-3</v>
      </c>
      <c r="I71" s="53">
        <f t="shared" si="6"/>
        <v>7.1258907363420665E-3</v>
      </c>
    </row>
    <row r="72" spans="2:9" x14ac:dyDescent="0.3">
      <c r="B72" s="52">
        <f t="shared" si="6"/>
        <v>-4.098360655737765E-3</v>
      </c>
      <c r="C72" s="53">
        <f t="shared" si="6"/>
        <v>3.4895314057827864E-3</v>
      </c>
      <c r="D72" s="53">
        <f t="shared" si="6"/>
        <v>-6.3473744950953703E-3</v>
      </c>
      <c r="E72" s="53">
        <f t="shared" si="6"/>
        <v>-2.166064981949456E-2</v>
      </c>
      <c r="F72" s="53">
        <f t="shared" si="6"/>
        <v>-1.1054675829100691E-2</v>
      </c>
      <c r="G72" s="53">
        <f t="shared" si="6"/>
        <v>-1.6949152542372836E-2</v>
      </c>
      <c r="H72" s="53">
        <f t="shared" si="6"/>
        <v>-2.0112392783200317E-2</v>
      </c>
      <c r="I72" s="53">
        <f t="shared" si="6"/>
        <v>-1.0613207547169656E-2</v>
      </c>
    </row>
    <row r="73" spans="2:9" x14ac:dyDescent="0.3">
      <c r="B73" s="52">
        <f t="shared" ref="B73:I82" si="7">B162/B161-1</f>
        <v>-5.2910052910053462E-3</v>
      </c>
      <c r="C73" s="53">
        <f t="shared" si="7"/>
        <v>7.2709208327688124E-3</v>
      </c>
      <c r="D73" s="53">
        <f t="shared" si="7"/>
        <v>-9.8722415795585716E-3</v>
      </c>
      <c r="E73" s="53">
        <f t="shared" si="7"/>
        <v>-2.0295202952029467E-2</v>
      </c>
      <c r="F73" s="53">
        <f t="shared" si="7"/>
        <v>-1.2688821752265822E-2</v>
      </c>
      <c r="G73" s="53">
        <f t="shared" si="7"/>
        <v>-2.8735632183908066E-2</v>
      </c>
      <c r="H73" s="53">
        <f t="shared" si="7"/>
        <v>-1.5393902807123494E-2</v>
      </c>
      <c r="I73" s="53">
        <f t="shared" si="7"/>
        <v>-1.2216924910607885E-2</v>
      </c>
    </row>
    <row r="74" spans="2:9" x14ac:dyDescent="0.3">
      <c r="B74" s="52">
        <f t="shared" si="7"/>
        <v>6.2647754137115985E-2</v>
      </c>
      <c r="C74" s="53">
        <f t="shared" si="7"/>
        <v>2.7035509325681772E-2</v>
      </c>
      <c r="D74" s="53">
        <f t="shared" si="7"/>
        <v>7.038123167155419E-2</v>
      </c>
      <c r="E74" s="53">
        <f t="shared" si="7"/>
        <v>6.5285624607658299E-2</v>
      </c>
      <c r="F74" s="53">
        <f t="shared" si="7"/>
        <v>8.7515299877600983E-2</v>
      </c>
      <c r="G74" s="53">
        <f t="shared" si="7"/>
        <v>0.11124260355029603</v>
      </c>
      <c r="H74" s="53">
        <f t="shared" si="7"/>
        <v>8.5530349478847523E-2</v>
      </c>
      <c r="I74" s="53">
        <f t="shared" si="7"/>
        <v>9.9245852187028527E-2</v>
      </c>
    </row>
    <row r="75" spans="2:9" x14ac:dyDescent="0.3">
      <c r="B75" s="52">
        <f t="shared" si="7"/>
        <v>-3.8932146829812053E-3</v>
      </c>
      <c r="C75" s="53">
        <f t="shared" si="7"/>
        <v>7.0720740385032954E-3</v>
      </c>
      <c r="D75" s="53">
        <f t="shared" si="7"/>
        <v>1.6438356164383272E-3</v>
      </c>
      <c r="E75" s="53">
        <f t="shared" si="7"/>
        <v>-2.8874484384207255E-2</v>
      </c>
      <c r="F75" s="53">
        <f t="shared" si="7"/>
        <v>-1.294316263365225E-2</v>
      </c>
      <c r="G75" s="53">
        <f t="shared" si="7"/>
        <v>-1.1182108626198173E-2</v>
      </c>
      <c r="H75" s="53">
        <f t="shared" si="7"/>
        <v>-1.6379553798362201E-2</v>
      </c>
      <c r="I75" s="53">
        <f t="shared" si="7"/>
        <v>-9.6048298572997126E-3</v>
      </c>
    </row>
    <row r="76" spans="2:9" x14ac:dyDescent="0.3">
      <c r="B76" s="52">
        <f t="shared" si="7"/>
        <v>-5.0251256281407253E-3</v>
      </c>
      <c r="C76" s="53">
        <f t="shared" si="7"/>
        <v>1.2224196974294443E-2</v>
      </c>
      <c r="D76" s="53">
        <f t="shared" si="7"/>
        <v>3.2822757111596879E-3</v>
      </c>
      <c r="E76" s="53">
        <f t="shared" si="7"/>
        <v>-2.669902912621358E-2</v>
      </c>
      <c r="F76" s="53">
        <f t="shared" si="7"/>
        <v>-1.4538198403648672E-2</v>
      </c>
      <c r="G76" s="53">
        <f t="shared" si="7"/>
        <v>-1.8847603661820145E-2</v>
      </c>
      <c r="H76" s="53">
        <f t="shared" si="7"/>
        <v>-1.2345679012345512E-2</v>
      </c>
      <c r="I76" s="53">
        <f t="shared" si="7"/>
        <v>-1.0252147409254619E-2</v>
      </c>
    </row>
    <row r="77" spans="2:9" x14ac:dyDescent="0.3">
      <c r="B77" s="52">
        <f t="shared" si="7"/>
        <v>-1.1223344556676729E-3</v>
      </c>
      <c r="C77" s="53">
        <f t="shared" si="7"/>
        <v>-2.9677529870241082E-2</v>
      </c>
      <c r="D77" s="53">
        <f t="shared" si="7"/>
        <v>-1.0905125408942173E-2</v>
      </c>
      <c r="E77" s="53">
        <f t="shared" si="7"/>
        <v>5.3615960099750559E-2</v>
      </c>
      <c r="F77" s="53">
        <f t="shared" si="7"/>
        <v>1.8513161700896896E-2</v>
      </c>
      <c r="G77" s="53">
        <f t="shared" si="7"/>
        <v>2.4149286498353462E-2</v>
      </c>
      <c r="H77" s="53">
        <f t="shared" si="7"/>
        <v>2.1220930232558111E-2</v>
      </c>
      <c r="I77" s="53">
        <f t="shared" si="7"/>
        <v>3.919372900335949E-3</v>
      </c>
    </row>
    <row r="78" spans="2:9" x14ac:dyDescent="0.3">
      <c r="B78" s="52">
        <f t="shared" si="7"/>
        <v>-4.4943820224719877E-3</v>
      </c>
      <c r="C78" s="53">
        <f t="shared" si="7"/>
        <v>5.9140259510988002E-3</v>
      </c>
      <c r="D78" s="53">
        <f t="shared" si="7"/>
        <v>2.7563395810363822E-3</v>
      </c>
      <c r="E78" s="53">
        <f t="shared" si="7"/>
        <v>-2.8402366863905404E-2</v>
      </c>
      <c r="F78" s="53">
        <f t="shared" si="7"/>
        <v>-1.2496449872195448E-2</v>
      </c>
      <c r="G78" s="53">
        <f t="shared" si="7"/>
        <v>-1.1789924973204635E-2</v>
      </c>
      <c r="H78" s="53">
        <f t="shared" si="7"/>
        <v>-1.707941929974377E-2</v>
      </c>
      <c r="I78" s="53">
        <f t="shared" si="7"/>
        <v>-9.7601784718349682E-3</v>
      </c>
    </row>
    <row r="79" spans="2:9" x14ac:dyDescent="0.3">
      <c r="B79" s="52">
        <f t="shared" si="7"/>
        <v>-5.0790067720088983E-3</v>
      </c>
      <c r="C79" s="53">
        <f t="shared" si="7"/>
        <v>1.0617760617760652E-2</v>
      </c>
      <c r="D79" s="53">
        <f t="shared" si="7"/>
        <v>3.8482682792742029E-3</v>
      </c>
      <c r="E79" s="53">
        <f t="shared" si="7"/>
        <v>-2.6796589524969439E-2</v>
      </c>
      <c r="F79" s="53">
        <f t="shared" si="7"/>
        <v>-1.4380212827149852E-2</v>
      </c>
      <c r="G79" s="53">
        <f t="shared" si="7"/>
        <v>-1.9522776572668099E-2</v>
      </c>
      <c r="H79" s="53">
        <f t="shared" si="7"/>
        <v>-1.2742542716478567E-2</v>
      </c>
      <c r="I79" s="53">
        <f t="shared" si="7"/>
        <v>-1.0137989298789174E-2</v>
      </c>
    </row>
    <row r="80" spans="2:9" x14ac:dyDescent="0.3">
      <c r="B80" s="52">
        <f t="shared" si="7"/>
        <v>-7.9410096426546506E-3</v>
      </c>
      <c r="C80" s="53">
        <f t="shared" si="7"/>
        <v>2.9521576799513838E-3</v>
      </c>
      <c r="D80" s="53">
        <f t="shared" si="7"/>
        <v>-1.3691128148959453E-2</v>
      </c>
      <c r="E80" s="53">
        <f t="shared" si="7"/>
        <v>-1.877346683354264E-3</v>
      </c>
      <c r="F80" s="53">
        <f t="shared" si="7"/>
        <v>-7.5868106215347675E-3</v>
      </c>
      <c r="G80" s="53">
        <f t="shared" si="7"/>
        <v>-1.2721238938053214E-2</v>
      </c>
      <c r="H80" s="53">
        <f t="shared" si="7"/>
        <v>-3.8134350249339199E-3</v>
      </c>
      <c r="I80" s="53">
        <f t="shared" si="7"/>
        <v>-1.08108108108107E-2</v>
      </c>
    </row>
    <row r="81" spans="1:9" x14ac:dyDescent="0.3">
      <c r="B81" s="52">
        <f t="shared" si="7"/>
        <v>9.1480846197826704E-3</v>
      </c>
      <c r="C81" s="53">
        <f t="shared" si="7"/>
        <v>-7.5751017227946305E-3</v>
      </c>
      <c r="D81" s="53">
        <f t="shared" si="7"/>
        <v>1.0549694614103267E-2</v>
      </c>
      <c r="E81" s="53">
        <f t="shared" si="7"/>
        <v>2.5705329153604906E-2</v>
      </c>
      <c r="F81" s="53">
        <f t="shared" si="7"/>
        <v>1.4407527197882963E-2</v>
      </c>
      <c r="G81" s="53">
        <f t="shared" si="7"/>
        <v>2.1288515406162611E-2</v>
      </c>
      <c r="H81" s="53">
        <f t="shared" si="7"/>
        <v>1.2367491166077604E-2</v>
      </c>
      <c r="I81" s="53">
        <f t="shared" si="7"/>
        <v>1.0641357492090719E-2</v>
      </c>
    </row>
    <row r="82" spans="1:9" x14ac:dyDescent="0.3">
      <c r="B82" s="52">
        <f t="shared" si="7"/>
        <v>7.3654390934845271E-3</v>
      </c>
      <c r="C82" s="53">
        <f t="shared" si="7"/>
        <v>-4.1435861647837191E-3</v>
      </c>
      <c r="D82" s="53">
        <f t="shared" si="7"/>
        <v>6.59340659340657E-3</v>
      </c>
      <c r="E82" s="53">
        <f t="shared" si="7"/>
        <v>2.8117359413202925E-2</v>
      </c>
      <c r="F82" s="53">
        <f t="shared" si="7"/>
        <v>1.2463768115941853E-2</v>
      </c>
      <c r="G82" s="53">
        <f t="shared" si="7"/>
        <v>1.3165112452002026E-2</v>
      </c>
      <c r="H82" s="53">
        <f t="shared" si="7"/>
        <v>1.6870273414776094E-2</v>
      </c>
      <c r="I82" s="53">
        <f t="shared" si="7"/>
        <v>9.960159362549792E-3</v>
      </c>
    </row>
    <row r="83" spans="1:9" x14ac:dyDescent="0.3">
      <c r="B83" s="52">
        <f t="shared" ref="B83:I92" si="8">B172/B171-1</f>
        <v>1.1248593925758943E-3</v>
      </c>
      <c r="C83" s="53">
        <f t="shared" si="8"/>
        <v>-7.6646811492644407E-3</v>
      </c>
      <c r="D83" s="53">
        <f t="shared" si="8"/>
        <v>-8.733624454148492E-3</v>
      </c>
      <c r="E83" s="53">
        <f t="shared" si="8"/>
        <v>4.7562425683711496E-3</v>
      </c>
      <c r="F83" s="53">
        <f t="shared" si="8"/>
        <v>8.0160320641284866E-3</v>
      </c>
      <c r="G83" s="53">
        <f t="shared" si="8"/>
        <v>1.0286951813752054E-2</v>
      </c>
      <c r="H83" s="53">
        <f t="shared" si="8"/>
        <v>4.8627002288328391E-3</v>
      </c>
      <c r="I83" s="53">
        <f t="shared" si="8"/>
        <v>1.0425471963933619E-2</v>
      </c>
    </row>
    <row r="84" spans="1:9" x14ac:dyDescent="0.3">
      <c r="B84" s="52">
        <f t="shared" si="8"/>
        <v>-4.4943820224719877E-3</v>
      </c>
      <c r="C84" s="53">
        <f t="shared" si="8"/>
        <v>5.9142869753276983E-3</v>
      </c>
      <c r="D84" s="53">
        <f t="shared" si="8"/>
        <v>2.7533039647578139E-3</v>
      </c>
      <c r="E84" s="53">
        <f t="shared" si="8"/>
        <v>-2.8402366863905404E-2</v>
      </c>
      <c r="F84" s="53">
        <f t="shared" si="8"/>
        <v>-1.2496449872195448E-2</v>
      </c>
      <c r="G84" s="53">
        <f t="shared" si="8"/>
        <v>-1.1789924973204635E-2</v>
      </c>
      <c r="H84" s="53">
        <f t="shared" si="8"/>
        <v>-1.707941929974377E-2</v>
      </c>
      <c r="I84" s="53">
        <f t="shared" si="8"/>
        <v>-9.7601784718349682E-3</v>
      </c>
    </row>
    <row r="85" spans="1:9" x14ac:dyDescent="0.3">
      <c r="B85" s="52">
        <f t="shared" si="8"/>
        <v>-5.0790067720088983E-3</v>
      </c>
      <c r="C85" s="53">
        <f t="shared" si="8"/>
        <v>1.0574349523934767E-2</v>
      </c>
      <c r="D85" s="53">
        <f t="shared" si="8"/>
        <v>3.8440417353102774E-3</v>
      </c>
      <c r="E85" s="53">
        <f t="shared" si="8"/>
        <v>-2.6796589524969439E-2</v>
      </c>
      <c r="F85" s="53">
        <f t="shared" si="8"/>
        <v>-1.4380212827149852E-2</v>
      </c>
      <c r="G85" s="53">
        <f t="shared" si="8"/>
        <v>-1.9522776572668099E-2</v>
      </c>
      <c r="H85" s="53">
        <f t="shared" si="8"/>
        <v>-1.2742542716478567E-2</v>
      </c>
      <c r="I85" s="53">
        <f t="shared" si="8"/>
        <v>-1.0419600112644423E-2</v>
      </c>
    </row>
    <row r="86" spans="1:9" x14ac:dyDescent="0.3">
      <c r="B86" s="52">
        <f t="shared" si="8"/>
        <v>1.418037436188313E-2</v>
      </c>
      <c r="C86" s="53">
        <f t="shared" si="8"/>
        <v>-1.2591177492184746E-2</v>
      </c>
      <c r="D86" s="53">
        <f t="shared" si="8"/>
        <v>-7.1115973741795457E-3</v>
      </c>
      <c r="E86" s="53">
        <f t="shared" si="8"/>
        <v>6.0075093867334228E-2</v>
      </c>
      <c r="F86" s="53">
        <f t="shared" si="8"/>
        <v>3.3848847388386227E-2</v>
      </c>
      <c r="G86" s="53">
        <f t="shared" si="8"/>
        <v>3.5398230088495408E-2</v>
      </c>
      <c r="H86" s="53">
        <f t="shared" si="8"/>
        <v>3.4320915224406168E-2</v>
      </c>
      <c r="I86" s="53">
        <f t="shared" si="8"/>
        <v>3.2157085941946661E-2</v>
      </c>
    </row>
    <row r="87" spans="1:9" x14ac:dyDescent="0.3">
      <c r="B87" s="52">
        <f t="shared" si="8"/>
        <v>-3.9149888143177325E-3</v>
      </c>
      <c r="C87" s="53">
        <f t="shared" si="8"/>
        <v>6.7716119954273069E-3</v>
      </c>
      <c r="D87" s="53">
        <f t="shared" si="8"/>
        <v>1.1019283746556141E-3</v>
      </c>
      <c r="E87" s="53">
        <f t="shared" si="8"/>
        <v>-2.8925619834710758E-2</v>
      </c>
      <c r="F87" s="53">
        <f t="shared" si="8"/>
        <v>-1.2701100762066098E-2</v>
      </c>
      <c r="G87" s="53">
        <f t="shared" si="8"/>
        <v>-1.175213675213671E-2</v>
      </c>
      <c r="H87" s="53">
        <f t="shared" si="8"/>
        <v>-1.5598411798071421E-2</v>
      </c>
      <c r="I87" s="53">
        <f t="shared" si="8"/>
        <v>-1.0201268265784491E-2</v>
      </c>
    </row>
    <row r="88" spans="1:9" x14ac:dyDescent="0.3">
      <c r="B88" s="52">
        <f t="shared" si="8"/>
        <v>-3.9303761931498427E-3</v>
      </c>
      <c r="C88" s="53">
        <f t="shared" si="8"/>
        <v>1.2272886093640745E-2</v>
      </c>
      <c r="D88" s="53">
        <f t="shared" si="8"/>
        <v>2.2014309301046087E-3</v>
      </c>
      <c r="E88" s="53">
        <f t="shared" si="8"/>
        <v>-2.6747720364741712E-2</v>
      </c>
      <c r="F88" s="53">
        <f t="shared" si="8"/>
        <v>-1.4293882218410547E-2</v>
      </c>
      <c r="G88" s="53">
        <f t="shared" si="8"/>
        <v>-1.8918918918918948E-2</v>
      </c>
      <c r="H88" s="53">
        <f t="shared" si="8"/>
        <v>-1.1812157879573681E-2</v>
      </c>
      <c r="I88" s="53">
        <f t="shared" si="8"/>
        <v>-1.0306406685236746E-2</v>
      </c>
    </row>
    <row r="89" spans="1:9" x14ac:dyDescent="0.3">
      <c r="D89" s="38" t="s">
        <v>134</v>
      </c>
    </row>
    <row r="90" spans="1:9" x14ac:dyDescent="0.3">
      <c r="A90" t="s">
        <v>138</v>
      </c>
      <c r="B90" s="42" t="s">
        <v>135</v>
      </c>
      <c r="C90" s="39" t="s">
        <v>128</v>
      </c>
      <c r="D90" s="39" t="s">
        <v>129</v>
      </c>
      <c r="E90" s="39" t="s">
        <v>108</v>
      </c>
      <c r="F90" s="39" t="s">
        <v>130</v>
      </c>
      <c r="G90" s="39" t="s">
        <v>131</v>
      </c>
      <c r="H90" s="39" t="s">
        <v>132</v>
      </c>
      <c r="I90" s="39" t="s">
        <v>133</v>
      </c>
    </row>
    <row r="91" spans="1:9" x14ac:dyDescent="0.3">
      <c r="B91" s="40">
        <v>157.6</v>
      </c>
      <c r="C91" s="43">
        <v>157.65384615384616</v>
      </c>
      <c r="D91" s="43">
        <v>156</v>
      </c>
      <c r="E91" s="43">
        <v>151.69999999999999</v>
      </c>
      <c r="F91" s="43">
        <v>158.44999999999999</v>
      </c>
      <c r="G91" s="43">
        <v>165.3</v>
      </c>
      <c r="H91" s="43">
        <v>161.35</v>
      </c>
      <c r="I91" s="43">
        <v>156.30000000000001</v>
      </c>
    </row>
    <row r="92" spans="1:9" x14ac:dyDescent="0.3">
      <c r="B92" s="41">
        <v>157.80000000000001</v>
      </c>
      <c r="C92" s="44">
        <v>158.77692307692308</v>
      </c>
      <c r="D92" s="44">
        <v>155.6</v>
      </c>
      <c r="E92" s="44">
        <v>146.6</v>
      </c>
      <c r="F92" s="44">
        <v>156.60000000000002</v>
      </c>
      <c r="G92" s="44">
        <v>162.30000000000001</v>
      </c>
      <c r="H92" s="44">
        <v>156.75</v>
      </c>
      <c r="I92" s="44">
        <v>154.9</v>
      </c>
    </row>
    <row r="93" spans="1:9" x14ac:dyDescent="0.3">
      <c r="B93" s="41">
        <v>158</v>
      </c>
      <c r="C93" s="45">
        <v>160.73846153846154</v>
      </c>
      <c r="D93" s="45">
        <v>154.9</v>
      </c>
      <c r="E93" s="45">
        <v>142.1</v>
      </c>
      <c r="F93" s="45">
        <v>154.5</v>
      </c>
      <c r="G93" s="45">
        <v>157.5</v>
      </c>
      <c r="H93" s="45">
        <v>153.35</v>
      </c>
      <c r="I93" s="45">
        <v>153.55000000000001</v>
      </c>
    </row>
    <row r="94" spans="1:9" x14ac:dyDescent="0.3">
      <c r="B94" s="41">
        <v>163.6</v>
      </c>
      <c r="C94" s="44">
        <v>163.90769230769232</v>
      </c>
      <c r="D94" s="44">
        <v>163.1</v>
      </c>
      <c r="E94" s="44">
        <v>157.69999999999999</v>
      </c>
      <c r="F94" s="44">
        <v>161.5</v>
      </c>
      <c r="G94" s="44">
        <v>171.1</v>
      </c>
      <c r="H94" s="44">
        <v>164.3</v>
      </c>
      <c r="I94" s="44">
        <v>161.80000000000001</v>
      </c>
    </row>
    <row r="95" spans="1:9" x14ac:dyDescent="0.3">
      <c r="B95" s="41">
        <v>163.19999999999999</v>
      </c>
      <c r="C95" s="45">
        <v>164.76923076923077</v>
      </c>
      <c r="D95" s="45">
        <v>162.6</v>
      </c>
      <c r="E95" s="45">
        <v>154</v>
      </c>
      <c r="F95" s="45">
        <v>159.80000000000001</v>
      </c>
      <c r="G95" s="45">
        <v>168.4</v>
      </c>
      <c r="H95" s="45">
        <v>160.69999999999999</v>
      </c>
      <c r="I95" s="45">
        <v>160</v>
      </c>
    </row>
    <row r="96" spans="1:9" x14ac:dyDescent="0.3">
      <c r="B96" s="41">
        <v>162.30000000000001</v>
      </c>
      <c r="C96" s="44">
        <v>165.99230769230769</v>
      </c>
      <c r="D96" s="44">
        <v>160.69999999999999</v>
      </c>
      <c r="E96" s="44">
        <v>150.4</v>
      </c>
      <c r="F96" s="44">
        <v>157.64999999999998</v>
      </c>
      <c r="G96" s="44">
        <v>162.80000000000001</v>
      </c>
      <c r="H96" s="44">
        <v>157.05000000000001</v>
      </c>
      <c r="I96" s="44">
        <v>157.80000000000001</v>
      </c>
    </row>
    <row r="97" spans="2:15" x14ac:dyDescent="0.3">
      <c r="B97" s="41">
        <v>167</v>
      </c>
      <c r="C97" s="45">
        <v>166.78461538461536</v>
      </c>
      <c r="D97" s="45">
        <v>165.6</v>
      </c>
      <c r="E97" s="45">
        <v>160.1</v>
      </c>
      <c r="F97" s="45">
        <v>163.65</v>
      </c>
      <c r="G97" s="45">
        <v>174</v>
      </c>
      <c r="H97" s="45">
        <v>167.1</v>
      </c>
      <c r="I97" s="45">
        <v>164.4</v>
      </c>
    </row>
    <row r="98" spans="2:15" x14ac:dyDescent="0.3">
      <c r="B98" s="41">
        <v>166.2</v>
      </c>
      <c r="C98" s="44">
        <v>167.76153846153846</v>
      </c>
      <c r="D98" s="44">
        <v>164.1</v>
      </c>
      <c r="E98" s="44">
        <v>155.69999999999999</v>
      </c>
      <c r="F98" s="44">
        <v>161.80000000000001</v>
      </c>
      <c r="G98" s="44">
        <v>170.6</v>
      </c>
      <c r="H98" s="44">
        <v>162.5</v>
      </c>
      <c r="I98" s="44">
        <v>162.30000000000001</v>
      </c>
    </row>
    <row r="99" spans="2:15" x14ac:dyDescent="0.3">
      <c r="B99" s="41">
        <v>165.2</v>
      </c>
      <c r="C99" s="45">
        <v>169.71538461538464</v>
      </c>
      <c r="D99" s="45">
        <v>161.69999999999999</v>
      </c>
      <c r="E99" s="45">
        <v>151.80000000000001</v>
      </c>
      <c r="F99" s="45">
        <v>159.69999999999999</v>
      </c>
      <c r="G99" s="45">
        <v>165.1</v>
      </c>
      <c r="H99" s="45">
        <v>159.1</v>
      </c>
      <c r="I99" s="45">
        <v>160.10000000000002</v>
      </c>
      <c r="O99" s="46"/>
    </row>
    <row r="100" spans="2:15" x14ac:dyDescent="0.3">
      <c r="B100" s="41">
        <v>156.69999999999999</v>
      </c>
      <c r="C100" s="44">
        <v>155.7923076923077</v>
      </c>
      <c r="D100" s="44">
        <v>154.4</v>
      </c>
      <c r="E100" s="44">
        <v>150.19999999999999</v>
      </c>
      <c r="F100" s="44">
        <v>157.30000000000001</v>
      </c>
      <c r="G100" s="44">
        <v>164.3</v>
      </c>
      <c r="H100" s="44">
        <v>160.30000000000001</v>
      </c>
      <c r="I100" s="44">
        <v>156.19999999999999</v>
      </c>
    </row>
    <row r="101" spans="2:15" x14ac:dyDescent="0.3">
      <c r="B101" s="41">
        <v>156.6</v>
      </c>
      <c r="C101" s="45">
        <v>156.8692307692308</v>
      </c>
      <c r="D101" s="45">
        <v>152.4</v>
      </c>
      <c r="E101" s="45">
        <v>145.1</v>
      </c>
      <c r="F101" s="45">
        <v>155.35000000000002</v>
      </c>
      <c r="G101" s="45">
        <v>161.30000000000001</v>
      </c>
      <c r="H101" s="45">
        <v>155.5</v>
      </c>
      <c r="I101" s="45">
        <v>154.60000000000002</v>
      </c>
    </row>
    <row r="102" spans="2:15" x14ac:dyDescent="0.3">
      <c r="B102" s="41">
        <v>156.5</v>
      </c>
      <c r="C102" s="44">
        <v>158.92307692307693</v>
      </c>
      <c r="D102" s="44">
        <v>149.1</v>
      </c>
      <c r="E102" s="44">
        <v>140.5</v>
      </c>
      <c r="F102" s="44">
        <v>153.15</v>
      </c>
      <c r="G102" s="44">
        <v>156.30000000000001</v>
      </c>
      <c r="H102" s="44">
        <v>151.94999999999999</v>
      </c>
      <c r="I102" s="44">
        <v>153</v>
      </c>
    </row>
    <row r="103" spans="2:15" x14ac:dyDescent="0.3">
      <c r="B103" s="41">
        <v>158.5</v>
      </c>
      <c r="C103" s="45">
        <v>158.89999999999998</v>
      </c>
      <c r="D103" s="45">
        <v>150.9</v>
      </c>
      <c r="E103" s="45">
        <v>147.5</v>
      </c>
      <c r="F103" s="45">
        <v>155.80000000000001</v>
      </c>
      <c r="G103" s="45">
        <v>162.5</v>
      </c>
      <c r="H103" s="45">
        <v>159.30000000000001</v>
      </c>
      <c r="I103" s="45">
        <v>156.05000000000001</v>
      </c>
    </row>
    <row r="104" spans="2:15" x14ac:dyDescent="0.3">
      <c r="B104" s="41">
        <v>157.30000000000001</v>
      </c>
      <c r="C104" s="44">
        <v>159.73076923076923</v>
      </c>
      <c r="D104" s="44">
        <v>147.9</v>
      </c>
      <c r="E104" s="44">
        <v>141.9</v>
      </c>
      <c r="F104" s="44">
        <v>153.85</v>
      </c>
      <c r="G104" s="44">
        <v>159.30000000000001</v>
      </c>
      <c r="H104" s="44">
        <v>154.39999999999998</v>
      </c>
      <c r="I104" s="44">
        <v>154.35000000000002</v>
      </c>
    </row>
    <row r="105" spans="2:15" x14ac:dyDescent="0.3">
      <c r="B105" s="41">
        <v>156</v>
      </c>
      <c r="C105" s="45">
        <v>161.30769230769232</v>
      </c>
      <c r="D105" s="45">
        <v>142.9</v>
      </c>
      <c r="E105" s="45">
        <v>136.9</v>
      </c>
      <c r="F105" s="45">
        <v>151.69999999999999</v>
      </c>
      <c r="G105" s="45">
        <v>154.1</v>
      </c>
      <c r="H105" s="45">
        <v>150.75</v>
      </c>
      <c r="I105" s="45">
        <v>152.64999999999998</v>
      </c>
    </row>
    <row r="106" spans="2:15" x14ac:dyDescent="0.3">
      <c r="B106" s="41">
        <v>163.19999999999999</v>
      </c>
      <c r="C106" s="44">
        <v>164.03076923076924</v>
      </c>
      <c r="D106" s="44">
        <v>162.5</v>
      </c>
      <c r="E106" s="44">
        <v>157.1</v>
      </c>
      <c r="F106" s="44">
        <v>160.9</v>
      </c>
      <c r="G106" s="44">
        <v>170.4</v>
      </c>
      <c r="H106" s="44">
        <v>163.95</v>
      </c>
      <c r="I106" s="44">
        <v>161.60000000000002</v>
      </c>
    </row>
    <row r="107" spans="2:15" x14ac:dyDescent="0.3">
      <c r="B107" s="41">
        <v>162.5</v>
      </c>
      <c r="C107" s="45">
        <v>165.15384615384616</v>
      </c>
      <c r="D107" s="45">
        <v>160.69999999999999</v>
      </c>
      <c r="E107" s="45">
        <v>153.1</v>
      </c>
      <c r="F107" s="45">
        <v>158.65</v>
      </c>
      <c r="G107" s="45">
        <v>167</v>
      </c>
      <c r="H107" s="45">
        <v>159.25</v>
      </c>
      <c r="I107" s="45">
        <v>159.55000000000001</v>
      </c>
    </row>
    <row r="108" spans="2:15" x14ac:dyDescent="0.3">
      <c r="B108" s="41">
        <v>161.80000000000001</v>
      </c>
      <c r="C108" s="44">
        <v>167.06153846153848</v>
      </c>
      <c r="D108" s="44">
        <v>157.69999999999999</v>
      </c>
      <c r="E108" s="44">
        <v>149.5</v>
      </c>
      <c r="F108" s="44">
        <v>156.1</v>
      </c>
      <c r="G108" s="44">
        <v>161.5</v>
      </c>
      <c r="H108" s="44">
        <v>155.75</v>
      </c>
      <c r="I108" s="44">
        <v>157.30000000000001</v>
      </c>
    </row>
    <row r="109" spans="2:15" x14ac:dyDescent="0.3">
      <c r="B109" s="41">
        <v>162.1</v>
      </c>
      <c r="C109" s="45">
        <v>163.27692307692308</v>
      </c>
      <c r="D109" s="45">
        <v>162.1</v>
      </c>
      <c r="E109" s="45">
        <v>154.19999999999999</v>
      </c>
      <c r="F109" s="45">
        <v>159.85</v>
      </c>
      <c r="G109" s="45">
        <v>169.7</v>
      </c>
      <c r="H109" s="45">
        <v>163.60000000000002</v>
      </c>
      <c r="I109" s="45">
        <v>160.44999999999999</v>
      </c>
    </row>
    <row r="110" spans="2:15" x14ac:dyDescent="0.3">
      <c r="B110" s="41">
        <v>161.30000000000001</v>
      </c>
      <c r="C110" s="44">
        <v>164.14615384615385</v>
      </c>
      <c r="D110" s="44">
        <v>159.80000000000001</v>
      </c>
      <c r="E110" s="44">
        <v>150.69999999999999</v>
      </c>
      <c r="F110" s="44">
        <v>157.65</v>
      </c>
      <c r="G110" s="44">
        <v>166.3</v>
      </c>
      <c r="H110" s="44">
        <v>158.30000000000001</v>
      </c>
      <c r="I110" s="44">
        <v>158.19999999999999</v>
      </c>
    </row>
    <row r="111" spans="2:15" x14ac:dyDescent="0.3">
      <c r="B111" s="41">
        <v>160.4</v>
      </c>
      <c r="C111" s="45">
        <v>165.7076923076923</v>
      </c>
      <c r="D111" s="45">
        <v>156.1</v>
      </c>
      <c r="E111" s="45">
        <v>147.5</v>
      </c>
      <c r="F111" s="45">
        <v>155.15</v>
      </c>
      <c r="G111" s="45">
        <v>160.80000000000001</v>
      </c>
      <c r="H111" s="45">
        <v>154.39999999999998</v>
      </c>
      <c r="I111" s="45">
        <v>155.69999999999999</v>
      </c>
    </row>
    <row r="112" spans="2:15" x14ac:dyDescent="0.3">
      <c r="B112" s="41">
        <v>156.69999999999999</v>
      </c>
      <c r="C112" s="44">
        <v>155.82307692307694</v>
      </c>
      <c r="D112" s="44">
        <v>156</v>
      </c>
      <c r="E112" s="44">
        <v>151.30000000000001</v>
      </c>
      <c r="F112" s="44">
        <v>157.35000000000002</v>
      </c>
      <c r="G112" s="44">
        <v>164.6</v>
      </c>
      <c r="H112" s="44">
        <v>160.80000000000001</v>
      </c>
      <c r="I112" s="44">
        <v>155.19999999999999</v>
      </c>
    </row>
    <row r="113" spans="2:9" x14ac:dyDescent="0.3">
      <c r="B113" s="41">
        <v>156.80000000000001</v>
      </c>
      <c r="C113" s="45">
        <v>156.87692307692308</v>
      </c>
      <c r="D113" s="45">
        <v>155.5</v>
      </c>
      <c r="E113" s="45">
        <v>146.19999999999999</v>
      </c>
      <c r="F113" s="45">
        <v>155.55000000000001</v>
      </c>
      <c r="G113" s="45">
        <v>161.69999999999999</v>
      </c>
      <c r="H113" s="45">
        <v>156.39999999999998</v>
      </c>
      <c r="I113" s="45">
        <v>153.80000000000001</v>
      </c>
    </row>
    <row r="114" spans="2:9" x14ac:dyDescent="0.3">
      <c r="B114" s="41">
        <v>156.9</v>
      </c>
      <c r="C114" s="44">
        <v>158.80769230769226</v>
      </c>
      <c r="D114" s="44">
        <v>154.80000000000001</v>
      </c>
      <c r="E114" s="44">
        <v>141.69999999999999</v>
      </c>
      <c r="F114" s="44">
        <v>153.55000000000001</v>
      </c>
      <c r="G114" s="44">
        <v>156.9</v>
      </c>
      <c r="H114" s="44">
        <v>153.1</v>
      </c>
      <c r="I114" s="44">
        <v>152.44999999999999</v>
      </c>
    </row>
    <row r="115" spans="2:9" x14ac:dyDescent="0.3">
      <c r="B115" s="41">
        <v>161.1</v>
      </c>
      <c r="C115" s="45">
        <v>161.17692307692306</v>
      </c>
      <c r="D115" s="45">
        <v>161.69999999999999</v>
      </c>
      <c r="E115" s="45">
        <v>153.19999999999999</v>
      </c>
      <c r="F115" s="45">
        <v>154.44999999999999</v>
      </c>
      <c r="G115" s="45">
        <v>169.1</v>
      </c>
      <c r="H115" s="45">
        <v>163.80000000000001</v>
      </c>
      <c r="I115" s="45">
        <v>160.19999999999999</v>
      </c>
    </row>
    <row r="116" spans="2:9" x14ac:dyDescent="0.3">
      <c r="B116" s="41">
        <v>160.4</v>
      </c>
      <c r="C116" s="44">
        <v>161.9769230769231</v>
      </c>
      <c r="D116" s="44">
        <v>159.4</v>
      </c>
      <c r="E116" s="44">
        <v>148.9</v>
      </c>
      <c r="F116" s="44">
        <v>158.14999999999998</v>
      </c>
      <c r="G116" s="44">
        <v>165.8</v>
      </c>
      <c r="H116" s="44">
        <v>158.5</v>
      </c>
      <c r="I116" s="44">
        <v>157.69999999999999</v>
      </c>
    </row>
    <row r="117" spans="2:9" x14ac:dyDescent="0.3">
      <c r="B117" s="41">
        <v>159.5</v>
      </c>
      <c r="C117" s="45">
        <v>163.43846153846155</v>
      </c>
      <c r="D117" s="45">
        <v>155.5</v>
      </c>
      <c r="E117" s="45">
        <v>145</v>
      </c>
      <c r="F117" s="45">
        <v>155.85</v>
      </c>
      <c r="G117" s="45">
        <v>160.4</v>
      </c>
      <c r="H117" s="45">
        <v>154.6</v>
      </c>
      <c r="I117" s="45">
        <v>154.9</v>
      </c>
    </row>
    <row r="118" spans="2:9" x14ac:dyDescent="0.3">
      <c r="B118" s="41">
        <v>167.6</v>
      </c>
      <c r="C118" s="44">
        <v>167.84615384615384</v>
      </c>
      <c r="D118" s="44">
        <v>165.3</v>
      </c>
      <c r="E118" s="44">
        <v>158.9</v>
      </c>
      <c r="F118" s="44">
        <v>160.44999999999999</v>
      </c>
      <c r="G118" s="44">
        <v>173.4</v>
      </c>
      <c r="H118" s="44">
        <v>166.55</v>
      </c>
      <c r="I118" s="44">
        <v>163.80000000000001</v>
      </c>
    </row>
    <row r="119" spans="2:9" x14ac:dyDescent="0.3">
      <c r="B119" s="41">
        <v>166.7</v>
      </c>
      <c r="C119" s="45">
        <v>168.77692307692308</v>
      </c>
      <c r="D119" s="45">
        <v>163.9</v>
      </c>
      <c r="E119" s="45">
        <v>154.80000000000001</v>
      </c>
      <c r="F119" s="45">
        <v>161.75</v>
      </c>
      <c r="G119" s="45">
        <v>169.9</v>
      </c>
      <c r="H119" s="45">
        <v>162.05000000000001</v>
      </c>
      <c r="I119" s="45">
        <v>161.80000000000001</v>
      </c>
    </row>
    <row r="120" spans="2:9" x14ac:dyDescent="0.3">
      <c r="B120" s="41">
        <v>165.6</v>
      </c>
      <c r="C120" s="44">
        <v>170.60769230769228</v>
      </c>
      <c r="D120" s="44">
        <v>161.6</v>
      </c>
      <c r="E120" s="44">
        <v>151.19999999999999</v>
      </c>
      <c r="F120" s="44">
        <v>159.69999999999999</v>
      </c>
      <c r="G120" s="44">
        <v>164.2</v>
      </c>
      <c r="H120" s="44">
        <v>158.75</v>
      </c>
      <c r="I120" s="44">
        <v>159.55000000000001</v>
      </c>
    </row>
    <row r="121" spans="2:9" x14ac:dyDescent="0.3">
      <c r="B121" s="41">
        <v>166.3</v>
      </c>
      <c r="C121" s="45">
        <v>166.47692307692307</v>
      </c>
      <c r="D121" s="45">
        <v>165.5</v>
      </c>
      <c r="E121" s="45">
        <v>159.5</v>
      </c>
      <c r="F121" s="45">
        <v>159.25</v>
      </c>
      <c r="G121" s="45">
        <v>172.5</v>
      </c>
      <c r="H121" s="45">
        <v>166.1</v>
      </c>
      <c r="I121" s="45">
        <v>162.89999999999998</v>
      </c>
    </row>
    <row r="122" spans="2:9" x14ac:dyDescent="0.3">
      <c r="B122" s="41">
        <v>165.5</v>
      </c>
      <c r="C122" s="44">
        <v>167.34615384615384</v>
      </c>
      <c r="D122" s="44">
        <v>164.2</v>
      </c>
      <c r="E122" s="44">
        <v>155.69999999999999</v>
      </c>
      <c r="F122" s="44">
        <v>161</v>
      </c>
      <c r="G122" s="44">
        <v>169.1</v>
      </c>
      <c r="H122" s="44">
        <v>161.25</v>
      </c>
      <c r="I122" s="44">
        <v>160.9</v>
      </c>
    </row>
    <row r="123" spans="2:9" x14ac:dyDescent="0.3">
      <c r="B123" s="41">
        <v>164.6</v>
      </c>
      <c r="C123" s="45">
        <v>169.10769230769236</v>
      </c>
      <c r="D123" s="45">
        <v>162.19999999999999</v>
      </c>
      <c r="E123" s="45">
        <v>152.19999999999999</v>
      </c>
      <c r="F123" s="45">
        <v>158.94999999999999</v>
      </c>
      <c r="G123" s="45">
        <v>163.5</v>
      </c>
      <c r="H123" s="45">
        <v>157.69999999999999</v>
      </c>
      <c r="I123" s="45">
        <v>158.65</v>
      </c>
    </row>
    <row r="124" spans="2:9" x14ac:dyDescent="0.3">
      <c r="B124" s="41">
        <v>164</v>
      </c>
      <c r="C124" s="44">
        <v>164.12307692307692</v>
      </c>
      <c r="D124" s="44">
        <v>163.69999999999999</v>
      </c>
      <c r="E124" s="44">
        <v>157.80000000000001</v>
      </c>
      <c r="F124" s="44">
        <v>158.80000000000001</v>
      </c>
      <c r="G124" s="44">
        <v>171.9</v>
      </c>
      <c r="H124" s="44">
        <v>165.6</v>
      </c>
      <c r="I124" s="44">
        <v>162</v>
      </c>
    </row>
    <row r="125" spans="2:9" x14ac:dyDescent="0.3">
      <c r="B125" s="41">
        <v>163.19999999999999</v>
      </c>
      <c r="C125" s="45">
        <v>164.76923076923077</v>
      </c>
      <c r="D125" s="45">
        <v>162.6</v>
      </c>
      <c r="E125" s="45">
        <v>154</v>
      </c>
      <c r="F125" s="45">
        <v>159.80000000000001</v>
      </c>
      <c r="G125" s="45">
        <v>168.4</v>
      </c>
      <c r="H125" s="45">
        <v>160.69999999999999</v>
      </c>
      <c r="I125" s="45">
        <v>160</v>
      </c>
    </row>
    <row r="126" spans="2:9" x14ac:dyDescent="0.3">
      <c r="B126" s="41">
        <v>162.30000000000001</v>
      </c>
      <c r="C126" s="44">
        <v>165.99230769230769</v>
      </c>
      <c r="D126" s="44">
        <v>160.80000000000001</v>
      </c>
      <c r="E126" s="44">
        <v>150.5</v>
      </c>
      <c r="F126" s="44">
        <v>157.69999999999999</v>
      </c>
      <c r="G126" s="44">
        <v>162.80000000000001</v>
      </c>
      <c r="H126" s="44">
        <v>157.10000000000002</v>
      </c>
      <c r="I126" s="44">
        <v>157.80000000000001</v>
      </c>
    </row>
    <row r="127" spans="2:9" x14ac:dyDescent="0.3">
      <c r="B127" s="41">
        <v>176.4</v>
      </c>
      <c r="C127" s="45">
        <v>174.44615384615386</v>
      </c>
      <c r="D127" s="45">
        <v>179.7</v>
      </c>
      <c r="E127" s="45">
        <v>166.9</v>
      </c>
      <c r="F127" s="45">
        <v>167.85</v>
      </c>
      <c r="G127" s="45">
        <v>180.2</v>
      </c>
      <c r="H127" s="45">
        <v>173.1</v>
      </c>
      <c r="I127" s="45">
        <v>171.95</v>
      </c>
    </row>
    <row r="128" spans="2:9" x14ac:dyDescent="0.3">
      <c r="B128" s="41">
        <v>175.3</v>
      </c>
      <c r="C128" s="44">
        <v>175.45384615384617</v>
      </c>
      <c r="D128" s="44">
        <v>179.5</v>
      </c>
      <c r="E128" s="44">
        <v>162.30000000000001</v>
      </c>
      <c r="F128" s="44">
        <v>169.5</v>
      </c>
      <c r="G128" s="44">
        <v>177.8</v>
      </c>
      <c r="H128" s="44">
        <v>170.35</v>
      </c>
      <c r="I128" s="44">
        <v>170.3</v>
      </c>
    </row>
    <row r="129" spans="2:9" x14ac:dyDescent="0.3">
      <c r="B129" s="41">
        <v>174.1</v>
      </c>
      <c r="C129" s="45">
        <v>177.41538461538462</v>
      </c>
      <c r="D129" s="45">
        <v>179.2</v>
      </c>
      <c r="E129" s="45">
        <v>158.19999999999999</v>
      </c>
      <c r="F129" s="45">
        <v>167.25</v>
      </c>
      <c r="G129" s="45">
        <v>173.8</v>
      </c>
      <c r="H129" s="45">
        <v>168.35000000000002</v>
      </c>
      <c r="I129" s="45">
        <v>168.6</v>
      </c>
    </row>
    <row r="130" spans="2:9" x14ac:dyDescent="0.3">
      <c r="B130" s="41">
        <v>177.9</v>
      </c>
      <c r="C130" s="44">
        <v>175.73076923076923</v>
      </c>
      <c r="D130" s="44">
        <v>180.8</v>
      </c>
      <c r="E130" s="44">
        <v>167.4</v>
      </c>
      <c r="F130" s="44">
        <v>169</v>
      </c>
      <c r="G130" s="44">
        <v>181.2</v>
      </c>
      <c r="H130" s="44">
        <v>173.55</v>
      </c>
      <c r="I130" s="44">
        <v>172.95</v>
      </c>
    </row>
    <row r="131" spans="2:9" x14ac:dyDescent="0.3">
      <c r="B131" s="41">
        <v>176.7</v>
      </c>
      <c r="C131" s="45">
        <v>176.71538461538464</v>
      </c>
      <c r="D131" s="45">
        <v>180.5</v>
      </c>
      <c r="E131" s="45">
        <v>162.9</v>
      </c>
      <c r="F131" s="45">
        <v>170.8</v>
      </c>
      <c r="G131" s="45">
        <v>178.7</v>
      </c>
      <c r="H131" s="45">
        <v>170.8</v>
      </c>
      <c r="I131" s="45">
        <v>171.3</v>
      </c>
    </row>
    <row r="132" spans="2:9" x14ac:dyDescent="0.3">
      <c r="B132" s="41">
        <v>175.3</v>
      </c>
      <c r="C132" s="44">
        <v>178.63846153846154</v>
      </c>
      <c r="D132" s="44">
        <v>180</v>
      </c>
      <c r="E132" s="44">
        <v>158.80000000000001</v>
      </c>
      <c r="F132" s="44">
        <v>168.6</v>
      </c>
      <c r="G132" s="44">
        <v>174.7</v>
      </c>
      <c r="H132" s="44">
        <v>168.75</v>
      </c>
      <c r="I132" s="44">
        <v>169.55</v>
      </c>
    </row>
    <row r="133" spans="2:9" x14ac:dyDescent="0.3">
      <c r="B133" s="41">
        <v>177.8</v>
      </c>
      <c r="C133" s="45">
        <v>175.97692307692307</v>
      </c>
      <c r="D133" s="45">
        <v>181.9</v>
      </c>
      <c r="E133" s="45">
        <v>167.5</v>
      </c>
      <c r="F133" s="45">
        <v>169.85</v>
      </c>
      <c r="G133" s="45">
        <v>182.3</v>
      </c>
      <c r="H133" s="45">
        <v>173.85000000000002</v>
      </c>
      <c r="I133" s="45">
        <v>174</v>
      </c>
    </row>
    <row r="134" spans="2:9" x14ac:dyDescent="0.3">
      <c r="B134" s="41">
        <v>176.5</v>
      </c>
      <c r="C134" s="44">
        <v>176.67692307692309</v>
      </c>
      <c r="D134" s="44">
        <v>181.3</v>
      </c>
      <c r="E134" s="44">
        <v>163</v>
      </c>
      <c r="F134" s="44">
        <v>171.60000000000002</v>
      </c>
      <c r="G134" s="44">
        <v>179.8</v>
      </c>
      <c r="H134" s="44">
        <v>171.1</v>
      </c>
      <c r="I134" s="44">
        <v>172.35</v>
      </c>
    </row>
    <row r="135" spans="2:9" x14ac:dyDescent="0.3">
      <c r="B135" s="41">
        <v>174.1</v>
      </c>
      <c r="C135" s="45">
        <v>178.03076923076924</v>
      </c>
      <c r="D135" s="45">
        <v>180.3</v>
      </c>
      <c r="E135" s="45">
        <v>158.9</v>
      </c>
      <c r="F135" s="45">
        <v>169.35000000000002</v>
      </c>
      <c r="G135" s="45">
        <v>175.8</v>
      </c>
      <c r="H135" s="45">
        <v>169.1</v>
      </c>
      <c r="I135" s="45">
        <v>170.60000000000002</v>
      </c>
    </row>
    <row r="136" spans="2:9" x14ac:dyDescent="0.3">
      <c r="B136" s="41">
        <v>172.5</v>
      </c>
      <c r="C136" s="44">
        <v>171.2923076923077</v>
      </c>
      <c r="D136" s="44">
        <v>175.3</v>
      </c>
      <c r="E136" s="44">
        <v>167.1</v>
      </c>
      <c r="F136" s="44">
        <v>168.2</v>
      </c>
      <c r="G136" s="44">
        <v>177.7</v>
      </c>
      <c r="H136" s="44">
        <v>169.7</v>
      </c>
      <c r="I136" s="44">
        <v>169.7</v>
      </c>
    </row>
    <row r="137" spans="2:9" x14ac:dyDescent="0.3">
      <c r="B137" s="41">
        <v>171.7</v>
      </c>
      <c r="C137" s="45">
        <v>172.22307692307697</v>
      </c>
      <c r="D137" s="45">
        <v>174.6</v>
      </c>
      <c r="E137" s="45">
        <v>163</v>
      </c>
      <c r="F137" s="45">
        <v>166.35</v>
      </c>
      <c r="G137" s="45">
        <v>174.8</v>
      </c>
      <c r="H137" s="45">
        <v>166.5</v>
      </c>
      <c r="I137" s="45">
        <v>167.95</v>
      </c>
    </row>
    <row r="138" spans="2:9" x14ac:dyDescent="0.3">
      <c r="B138" s="41">
        <v>170.8</v>
      </c>
      <c r="C138" s="44">
        <v>174.01538461538465</v>
      </c>
      <c r="D138" s="44">
        <v>173.5</v>
      </c>
      <c r="E138" s="44">
        <v>159.4</v>
      </c>
      <c r="F138" s="44">
        <v>164.3</v>
      </c>
      <c r="G138" s="44">
        <v>170.1</v>
      </c>
      <c r="H138" s="44">
        <v>164.2</v>
      </c>
      <c r="I138" s="44">
        <v>166</v>
      </c>
    </row>
    <row r="139" spans="2:9" x14ac:dyDescent="0.3">
      <c r="B139" s="41">
        <v>168.7</v>
      </c>
      <c r="C139" s="45">
        <v>167.62307692307695</v>
      </c>
      <c r="D139" s="45">
        <v>168.9</v>
      </c>
      <c r="E139" s="45">
        <v>162</v>
      </c>
      <c r="F139" s="45">
        <v>165.9</v>
      </c>
      <c r="G139" s="45">
        <v>176</v>
      </c>
      <c r="H139" s="45">
        <v>168.6</v>
      </c>
      <c r="I139" s="45">
        <v>167.85000000000002</v>
      </c>
    </row>
    <row r="140" spans="2:9" x14ac:dyDescent="0.3">
      <c r="B140" s="41">
        <v>167.7</v>
      </c>
      <c r="C140" s="44">
        <v>168.01538461538465</v>
      </c>
      <c r="D140" s="44">
        <v>167.2</v>
      </c>
      <c r="E140" s="44">
        <v>157.9</v>
      </c>
      <c r="F140" s="44">
        <v>164.05</v>
      </c>
      <c r="G140" s="44">
        <v>173</v>
      </c>
      <c r="H140" s="44">
        <v>164.65</v>
      </c>
      <c r="I140" s="44">
        <v>165.89999999999998</v>
      </c>
    </row>
    <row r="141" spans="2:9" x14ac:dyDescent="0.3">
      <c r="B141" s="41">
        <v>166.5</v>
      </c>
      <c r="C141" s="45">
        <v>168.94615384615386</v>
      </c>
      <c r="D141" s="45">
        <v>164.5</v>
      </c>
      <c r="E141" s="45">
        <v>154.19999999999999</v>
      </c>
      <c r="F141" s="45">
        <v>161.94999999999999</v>
      </c>
      <c r="G141" s="45">
        <v>168.2</v>
      </c>
      <c r="H141" s="45">
        <v>161.75</v>
      </c>
      <c r="I141" s="45">
        <v>163.69999999999999</v>
      </c>
    </row>
    <row r="142" spans="2:9" x14ac:dyDescent="0.3">
      <c r="B142" s="41">
        <v>173.6</v>
      </c>
      <c r="C142" s="44">
        <v>172.94615384615386</v>
      </c>
      <c r="D142" s="44">
        <v>176.7</v>
      </c>
      <c r="E142" s="44">
        <v>165.5</v>
      </c>
      <c r="F142" s="44">
        <v>168.55</v>
      </c>
      <c r="G142" s="44">
        <v>178.2</v>
      </c>
      <c r="H142" s="44">
        <v>170.3</v>
      </c>
      <c r="I142" s="44">
        <v>170.25</v>
      </c>
    </row>
    <row r="143" spans="2:9" x14ac:dyDescent="0.3">
      <c r="B143" s="41">
        <v>172.6</v>
      </c>
      <c r="C143" s="45">
        <v>173.99230769230769</v>
      </c>
      <c r="D143" s="45">
        <v>176</v>
      </c>
      <c r="E143" s="45">
        <v>161.1</v>
      </c>
      <c r="F143" s="45">
        <v>166.60000000000002</v>
      </c>
      <c r="G143" s="45">
        <v>175.4</v>
      </c>
      <c r="H143" s="45">
        <v>167.4</v>
      </c>
      <c r="I143" s="45">
        <v>168.45</v>
      </c>
    </row>
    <row r="144" spans="2:9" x14ac:dyDescent="0.3">
      <c r="B144" s="41">
        <v>171.4</v>
      </c>
      <c r="C144" s="44">
        <v>175.96153846153845</v>
      </c>
      <c r="D144" s="44">
        <v>174.9</v>
      </c>
      <c r="E144" s="44">
        <v>157.19999999999999</v>
      </c>
      <c r="F144" s="44">
        <v>164.45</v>
      </c>
      <c r="G144" s="44">
        <v>170.9</v>
      </c>
      <c r="H144" s="44">
        <v>165.3</v>
      </c>
      <c r="I144" s="44">
        <v>166.5</v>
      </c>
    </row>
    <row r="145" spans="2:9" x14ac:dyDescent="0.3">
      <c r="B145" s="41">
        <v>174.3</v>
      </c>
      <c r="C145" s="45">
        <v>173.26923076923077</v>
      </c>
      <c r="D145" s="45">
        <v>179.6</v>
      </c>
      <c r="E145" s="45">
        <v>166.3</v>
      </c>
      <c r="F145" s="45">
        <v>169.55</v>
      </c>
      <c r="G145" s="45">
        <v>178.8</v>
      </c>
      <c r="H145" s="45">
        <v>171.64999999999998</v>
      </c>
      <c r="I145" s="45">
        <v>170.75</v>
      </c>
    </row>
    <row r="146" spans="2:9" x14ac:dyDescent="0.3">
      <c r="B146" s="41">
        <v>173.4</v>
      </c>
      <c r="C146" s="44">
        <v>174.33076923076925</v>
      </c>
      <c r="D146" s="44">
        <v>179.6</v>
      </c>
      <c r="E146" s="44">
        <v>161.6</v>
      </c>
      <c r="F146" s="44">
        <v>167.60000000000002</v>
      </c>
      <c r="G146" s="44">
        <v>176.1</v>
      </c>
      <c r="H146" s="44">
        <v>168.85000000000002</v>
      </c>
      <c r="I146" s="44">
        <v>169.05</v>
      </c>
    </row>
    <row r="147" spans="2:9" x14ac:dyDescent="0.3">
      <c r="B147" s="41">
        <v>172.3</v>
      </c>
      <c r="C147" s="45">
        <v>176.27692307692308</v>
      </c>
      <c r="D147" s="45">
        <v>179.5</v>
      </c>
      <c r="E147" s="45">
        <v>157.4</v>
      </c>
      <c r="F147" s="45">
        <v>165.45</v>
      </c>
      <c r="G147" s="45">
        <v>171.7</v>
      </c>
      <c r="H147" s="45">
        <v>166.85</v>
      </c>
      <c r="I147" s="45">
        <v>167.25</v>
      </c>
    </row>
    <row r="148" spans="2:9" x14ac:dyDescent="0.3">
      <c r="B148" s="41">
        <v>166.4</v>
      </c>
      <c r="C148" s="44">
        <v>165.61538461538461</v>
      </c>
      <c r="D148" s="44">
        <v>165.8</v>
      </c>
      <c r="E148" s="44">
        <v>160.80000000000001</v>
      </c>
      <c r="F148" s="44">
        <v>164.7</v>
      </c>
      <c r="G148" s="44">
        <v>174.7</v>
      </c>
      <c r="H148" s="44">
        <v>167.4</v>
      </c>
      <c r="I148" s="44">
        <v>164.89999999999998</v>
      </c>
    </row>
    <row r="149" spans="2:9" x14ac:dyDescent="0.3">
      <c r="B149" s="41">
        <v>165.7</v>
      </c>
      <c r="C149" s="45">
        <v>166.47692307692307</v>
      </c>
      <c r="D149" s="45">
        <v>164.2</v>
      </c>
      <c r="E149" s="45">
        <v>156.5</v>
      </c>
      <c r="F149" s="45">
        <v>162.80000000000001</v>
      </c>
      <c r="G149" s="45">
        <v>171.4</v>
      </c>
      <c r="H149" s="45">
        <v>162.94999999999999</v>
      </c>
      <c r="I149" s="45">
        <v>162.85</v>
      </c>
    </row>
    <row r="150" spans="2:9" x14ac:dyDescent="0.3">
      <c r="B150" s="41">
        <v>165</v>
      </c>
      <c r="C150" s="44">
        <v>168.2076923076923</v>
      </c>
      <c r="D150" s="44">
        <v>161.6</v>
      </c>
      <c r="E150" s="44">
        <v>152.69999999999999</v>
      </c>
      <c r="F150" s="44">
        <v>160.65</v>
      </c>
      <c r="G150" s="44">
        <v>166.1</v>
      </c>
      <c r="H150" s="44">
        <v>159.69999999999999</v>
      </c>
      <c r="I150" s="44">
        <v>160.69999999999999</v>
      </c>
    </row>
    <row r="151" spans="2:9" x14ac:dyDescent="0.3">
      <c r="B151" s="41">
        <v>166.7</v>
      </c>
      <c r="C151" s="45">
        <v>165.41538461538462</v>
      </c>
      <c r="D151" s="45">
        <v>167.4</v>
      </c>
      <c r="E151" s="45">
        <v>161.19999999999999</v>
      </c>
      <c r="F151" s="45">
        <v>165.6</v>
      </c>
      <c r="G151" s="45">
        <v>175.3</v>
      </c>
      <c r="H151" s="45">
        <v>167.9</v>
      </c>
      <c r="I151" s="45">
        <v>165.9</v>
      </c>
    </row>
    <row r="152" spans="2:9" x14ac:dyDescent="0.3">
      <c r="B152" s="41">
        <v>166.1</v>
      </c>
      <c r="C152" s="44">
        <v>166.24615384615387</v>
      </c>
      <c r="D152" s="44">
        <v>165.7</v>
      </c>
      <c r="E152" s="44">
        <v>156.9</v>
      </c>
      <c r="F152" s="44">
        <v>163.65</v>
      </c>
      <c r="G152" s="44">
        <v>172.2</v>
      </c>
      <c r="H152" s="44">
        <v>163.75</v>
      </c>
      <c r="I152" s="44">
        <v>163.95</v>
      </c>
    </row>
    <row r="153" spans="2:9" x14ac:dyDescent="0.3">
      <c r="B153" s="41">
        <v>165.5</v>
      </c>
      <c r="C153" s="45">
        <v>167.96153846153845</v>
      </c>
      <c r="D153" s="45">
        <v>163</v>
      </c>
      <c r="E153" s="45">
        <v>153.1</v>
      </c>
      <c r="F153" s="45">
        <v>161.44999999999999</v>
      </c>
      <c r="G153" s="45">
        <v>167.2</v>
      </c>
      <c r="H153" s="45">
        <v>160.75</v>
      </c>
      <c r="I153" s="45">
        <v>161.80000000000001</v>
      </c>
    </row>
    <row r="154" spans="2:9" x14ac:dyDescent="0.3">
      <c r="B154" s="41">
        <v>177.1</v>
      </c>
      <c r="C154" s="44">
        <v>175.16153846153844</v>
      </c>
      <c r="D154" s="44">
        <v>182.8</v>
      </c>
      <c r="E154" s="44">
        <v>167.8</v>
      </c>
      <c r="F154" s="44">
        <v>173.55</v>
      </c>
      <c r="G154" s="44">
        <v>183.5</v>
      </c>
      <c r="H154" s="44">
        <v>174.25</v>
      </c>
      <c r="I154" s="44">
        <v>175.6</v>
      </c>
    </row>
    <row r="155" spans="2:9" x14ac:dyDescent="0.3">
      <c r="B155" s="41">
        <v>175.7</v>
      </c>
      <c r="C155" s="45">
        <v>175.64615384615385</v>
      </c>
      <c r="D155" s="45">
        <v>182</v>
      </c>
      <c r="E155" s="45">
        <v>163.4</v>
      </c>
      <c r="F155" s="45">
        <v>171.39999999999998</v>
      </c>
      <c r="G155" s="45">
        <v>181.1</v>
      </c>
      <c r="H155" s="45">
        <v>171.5</v>
      </c>
      <c r="I155" s="45">
        <v>173.9</v>
      </c>
    </row>
    <row r="156" spans="2:9" x14ac:dyDescent="0.3">
      <c r="B156" s="41">
        <v>174.1</v>
      </c>
      <c r="C156" s="44">
        <v>176.59999999999997</v>
      </c>
      <c r="D156" s="44">
        <v>180.6</v>
      </c>
      <c r="E156" s="44">
        <v>159.4</v>
      </c>
      <c r="F156" s="44">
        <v>169</v>
      </c>
      <c r="G156" s="44">
        <v>177.2</v>
      </c>
      <c r="H156" s="44">
        <v>169.45</v>
      </c>
      <c r="I156" s="44">
        <v>172.1</v>
      </c>
    </row>
    <row r="157" spans="2:9" x14ac:dyDescent="0.3">
      <c r="B157" s="41">
        <v>175.3</v>
      </c>
      <c r="C157" s="45">
        <v>173.5230769230769</v>
      </c>
      <c r="D157" s="45">
        <v>179.1</v>
      </c>
      <c r="E157" s="45">
        <v>166.6</v>
      </c>
      <c r="F157" s="45">
        <v>170.65</v>
      </c>
      <c r="G157" s="45">
        <v>179.4</v>
      </c>
      <c r="H157" s="45">
        <v>172.5</v>
      </c>
      <c r="I157" s="45">
        <v>171.85</v>
      </c>
    </row>
    <row r="158" spans="2:9" x14ac:dyDescent="0.3">
      <c r="B158" s="41">
        <v>174.3</v>
      </c>
      <c r="C158" s="44">
        <v>174.55384615384617</v>
      </c>
      <c r="D158" s="44">
        <v>178.8</v>
      </c>
      <c r="E158" s="44">
        <v>161.9</v>
      </c>
      <c r="F158" s="44">
        <v>168.75</v>
      </c>
      <c r="G158" s="44">
        <v>176.8</v>
      </c>
      <c r="H158" s="44">
        <v>169.60000000000002</v>
      </c>
      <c r="I158" s="44">
        <v>170.14999999999998</v>
      </c>
    </row>
    <row r="159" spans="2:9" x14ac:dyDescent="0.3">
      <c r="B159" s="41">
        <v>173.1</v>
      </c>
      <c r="C159" s="45">
        <v>176.43846153846152</v>
      </c>
      <c r="D159" s="45">
        <v>178.4</v>
      </c>
      <c r="E159" s="45">
        <v>157.69999999999999</v>
      </c>
      <c r="F159" s="45">
        <v>166.6</v>
      </c>
      <c r="G159" s="45">
        <v>172.6</v>
      </c>
      <c r="H159" s="45">
        <v>167.5</v>
      </c>
      <c r="I159" s="45">
        <v>168.4</v>
      </c>
    </row>
    <row r="160" spans="2:9" x14ac:dyDescent="0.3">
      <c r="B160" s="41">
        <v>170.8</v>
      </c>
      <c r="C160" s="44">
        <v>169.73846153846154</v>
      </c>
      <c r="D160" s="44">
        <v>173.3</v>
      </c>
      <c r="E160" s="44">
        <v>166.2</v>
      </c>
      <c r="F160" s="44">
        <v>167.35</v>
      </c>
      <c r="G160" s="44">
        <v>177</v>
      </c>
      <c r="H160" s="44">
        <v>169.05</v>
      </c>
      <c r="I160" s="44">
        <v>169.6</v>
      </c>
    </row>
    <row r="161" spans="2:9" x14ac:dyDescent="0.3">
      <c r="B161" s="41">
        <v>170.1</v>
      </c>
      <c r="C161" s="45">
        <v>170.33076923076925</v>
      </c>
      <c r="D161" s="45">
        <v>172.2</v>
      </c>
      <c r="E161" s="45">
        <v>162.6</v>
      </c>
      <c r="F161" s="45">
        <v>165.5</v>
      </c>
      <c r="G161" s="45">
        <v>174</v>
      </c>
      <c r="H161" s="45">
        <v>165.65</v>
      </c>
      <c r="I161" s="45">
        <v>167.8</v>
      </c>
    </row>
    <row r="162" spans="2:9" x14ac:dyDescent="0.3">
      <c r="B162" s="41">
        <v>169.2</v>
      </c>
      <c r="C162" s="44">
        <v>171.56923076923078</v>
      </c>
      <c r="D162" s="44">
        <v>170.5</v>
      </c>
      <c r="E162" s="44">
        <v>159.30000000000001</v>
      </c>
      <c r="F162" s="44">
        <v>163.4</v>
      </c>
      <c r="G162" s="44">
        <v>169</v>
      </c>
      <c r="H162" s="44">
        <v>163.1</v>
      </c>
      <c r="I162" s="44">
        <v>165.75</v>
      </c>
    </row>
    <row r="163" spans="2:9" x14ac:dyDescent="0.3">
      <c r="B163" s="41">
        <v>179.8</v>
      </c>
      <c r="C163" s="45">
        <v>176.20769230769235</v>
      </c>
      <c r="D163" s="45">
        <v>182.5</v>
      </c>
      <c r="E163" s="45">
        <v>169.7</v>
      </c>
      <c r="F163" s="45">
        <v>177.7</v>
      </c>
      <c r="G163" s="45">
        <v>187.8</v>
      </c>
      <c r="H163" s="45">
        <v>177.05</v>
      </c>
      <c r="I163" s="45">
        <v>182.2</v>
      </c>
    </row>
    <row r="164" spans="2:9" x14ac:dyDescent="0.3">
      <c r="B164" s="41">
        <v>179.1</v>
      </c>
      <c r="C164" s="44">
        <v>177.45384615384617</v>
      </c>
      <c r="D164" s="44">
        <v>182.8</v>
      </c>
      <c r="E164" s="44">
        <v>164.8</v>
      </c>
      <c r="F164" s="44">
        <v>175.39999999999998</v>
      </c>
      <c r="G164" s="44">
        <v>185.7</v>
      </c>
      <c r="H164" s="44">
        <v>174.14999999999998</v>
      </c>
      <c r="I164" s="44">
        <v>180.45</v>
      </c>
    </row>
    <row r="165" spans="2:9" x14ac:dyDescent="0.3">
      <c r="B165" s="41">
        <v>178.2</v>
      </c>
      <c r="C165" s="45">
        <v>179.62307692307692</v>
      </c>
      <c r="D165" s="45">
        <v>183.4</v>
      </c>
      <c r="E165" s="45">
        <v>160.4</v>
      </c>
      <c r="F165" s="45">
        <v>172.85</v>
      </c>
      <c r="G165" s="45">
        <v>182.2</v>
      </c>
      <c r="H165" s="45">
        <v>172</v>
      </c>
      <c r="I165" s="45">
        <v>178.6</v>
      </c>
    </row>
    <row r="166" spans="2:9" x14ac:dyDescent="0.3">
      <c r="B166" s="41">
        <v>178</v>
      </c>
      <c r="C166" s="44">
        <v>174.2923076923077</v>
      </c>
      <c r="D166" s="44">
        <v>181.4</v>
      </c>
      <c r="E166" s="44">
        <v>169</v>
      </c>
      <c r="F166" s="44">
        <v>176.05</v>
      </c>
      <c r="G166" s="44">
        <v>186.6</v>
      </c>
      <c r="H166" s="44">
        <v>175.65</v>
      </c>
      <c r="I166" s="44">
        <v>179.3</v>
      </c>
    </row>
    <row r="167" spans="2:9" x14ac:dyDescent="0.3">
      <c r="B167" s="41">
        <v>177.2</v>
      </c>
      <c r="C167" s="45">
        <v>175.32307692307691</v>
      </c>
      <c r="D167" s="45">
        <v>181.9</v>
      </c>
      <c r="E167" s="45">
        <v>164.2</v>
      </c>
      <c r="F167" s="45">
        <v>173.85</v>
      </c>
      <c r="G167" s="45">
        <v>184.4</v>
      </c>
      <c r="H167" s="45">
        <v>172.65</v>
      </c>
      <c r="I167" s="45">
        <v>177.55</v>
      </c>
    </row>
    <row r="168" spans="2:9" x14ac:dyDescent="0.3">
      <c r="B168" s="41">
        <v>176.3</v>
      </c>
      <c r="C168" s="44">
        <v>177.1846153846154</v>
      </c>
      <c r="D168" s="44">
        <v>182.6</v>
      </c>
      <c r="E168" s="44">
        <v>159.80000000000001</v>
      </c>
      <c r="F168" s="44">
        <v>171.35</v>
      </c>
      <c r="G168" s="44">
        <v>180.8</v>
      </c>
      <c r="H168" s="44">
        <v>170.45</v>
      </c>
      <c r="I168" s="44">
        <v>175.75</v>
      </c>
    </row>
    <row r="169" spans="2:9" x14ac:dyDescent="0.3">
      <c r="B169" s="41">
        <v>174.9</v>
      </c>
      <c r="C169" s="45">
        <v>177.70769230769233</v>
      </c>
      <c r="D169" s="45">
        <v>180.1</v>
      </c>
      <c r="E169" s="45">
        <v>159.5</v>
      </c>
      <c r="F169" s="45">
        <v>170.05</v>
      </c>
      <c r="G169" s="45">
        <v>178.5</v>
      </c>
      <c r="H169" s="45">
        <v>169.8</v>
      </c>
      <c r="I169" s="45">
        <v>173.85000000000002</v>
      </c>
    </row>
    <row r="170" spans="2:9" x14ac:dyDescent="0.3">
      <c r="B170" s="41">
        <v>176.5</v>
      </c>
      <c r="C170" s="44">
        <v>176.36153846153846</v>
      </c>
      <c r="D170" s="44">
        <v>182</v>
      </c>
      <c r="E170" s="44">
        <v>163.6</v>
      </c>
      <c r="F170" s="44">
        <v>172.5</v>
      </c>
      <c r="G170" s="44">
        <v>182.3</v>
      </c>
      <c r="H170" s="44">
        <v>171.9</v>
      </c>
      <c r="I170" s="44">
        <v>175.7</v>
      </c>
    </row>
    <row r="171" spans="2:9" x14ac:dyDescent="0.3">
      <c r="B171" s="41">
        <v>177.8</v>
      </c>
      <c r="C171" s="45">
        <v>175.63076923076926</v>
      </c>
      <c r="D171" s="45">
        <v>183.2</v>
      </c>
      <c r="E171" s="45">
        <v>168.2</v>
      </c>
      <c r="F171" s="45">
        <v>174.64999999999998</v>
      </c>
      <c r="G171" s="45">
        <v>184.7</v>
      </c>
      <c r="H171" s="45">
        <v>174.8</v>
      </c>
      <c r="I171" s="45">
        <v>177.45</v>
      </c>
    </row>
    <row r="172" spans="2:9" x14ac:dyDescent="0.3">
      <c r="B172" s="41">
        <v>178</v>
      </c>
      <c r="C172" s="44">
        <v>174.28461538461536</v>
      </c>
      <c r="D172" s="44">
        <v>181.6</v>
      </c>
      <c r="E172" s="44">
        <v>169</v>
      </c>
      <c r="F172" s="44">
        <v>176.05</v>
      </c>
      <c r="G172" s="44">
        <v>186.6</v>
      </c>
      <c r="H172" s="44">
        <v>175.65</v>
      </c>
      <c r="I172" s="44">
        <v>179.3</v>
      </c>
    </row>
    <row r="173" spans="2:9" x14ac:dyDescent="0.3">
      <c r="B173" s="41">
        <v>177.2</v>
      </c>
      <c r="C173" s="45">
        <v>175.3153846153846</v>
      </c>
      <c r="D173" s="45">
        <v>182.1</v>
      </c>
      <c r="E173" s="45">
        <v>164.2</v>
      </c>
      <c r="F173" s="45">
        <v>173.85</v>
      </c>
      <c r="G173" s="45">
        <v>184.4</v>
      </c>
      <c r="H173" s="45">
        <v>172.65</v>
      </c>
      <c r="I173" s="45">
        <v>177.55</v>
      </c>
    </row>
    <row r="174" spans="2:9" x14ac:dyDescent="0.3">
      <c r="B174" s="41">
        <v>176.3</v>
      </c>
      <c r="C174" s="44">
        <v>177.16923076923075</v>
      </c>
      <c r="D174" s="44">
        <v>182.8</v>
      </c>
      <c r="E174" s="44">
        <v>159.80000000000001</v>
      </c>
      <c r="F174" s="44">
        <v>171.35</v>
      </c>
      <c r="G174" s="44">
        <v>180.8</v>
      </c>
      <c r="H174" s="44">
        <v>170.45</v>
      </c>
      <c r="I174" s="44">
        <v>175.7</v>
      </c>
    </row>
    <row r="175" spans="2:9" x14ac:dyDescent="0.3">
      <c r="B175" s="41">
        <v>178.8</v>
      </c>
      <c r="C175" s="45">
        <v>174.93846153846152</v>
      </c>
      <c r="D175" s="45">
        <v>181.5</v>
      </c>
      <c r="E175" s="45">
        <v>169.4</v>
      </c>
      <c r="F175" s="45">
        <v>177.14999999999998</v>
      </c>
      <c r="G175" s="45">
        <v>187.2</v>
      </c>
      <c r="H175" s="45">
        <v>176.3</v>
      </c>
      <c r="I175" s="45">
        <v>181.35000000000002</v>
      </c>
    </row>
    <row r="176" spans="2:9" x14ac:dyDescent="0.3">
      <c r="B176" s="41">
        <v>178.1</v>
      </c>
      <c r="C176" s="44">
        <v>176.12307692307695</v>
      </c>
      <c r="D176" s="44">
        <v>181.7</v>
      </c>
      <c r="E176" s="44">
        <v>164.5</v>
      </c>
      <c r="F176" s="44">
        <v>174.89999999999998</v>
      </c>
      <c r="G176" s="44">
        <v>185</v>
      </c>
      <c r="H176" s="44">
        <v>173.55</v>
      </c>
      <c r="I176" s="44">
        <v>179.5</v>
      </c>
    </row>
    <row r="177" spans="2:9" x14ac:dyDescent="0.3">
      <c r="B177" s="41">
        <v>177.4</v>
      </c>
      <c r="C177" s="45">
        <v>178.28461538461539</v>
      </c>
      <c r="D177" s="45">
        <v>182.1</v>
      </c>
      <c r="E177" s="45">
        <v>160.1</v>
      </c>
      <c r="F177" s="45">
        <v>172.39999999999998</v>
      </c>
      <c r="G177" s="45">
        <v>181.5</v>
      </c>
      <c r="H177" s="45">
        <v>171.5</v>
      </c>
      <c r="I177" s="45">
        <v>177.65</v>
      </c>
    </row>
  </sheetData>
  <mergeCells count="14">
    <mergeCell ref="L28:M28"/>
    <mergeCell ref="L30:M30"/>
    <mergeCell ref="L16:M16"/>
    <mergeCell ref="L18:M18"/>
    <mergeCell ref="L20:M20"/>
    <mergeCell ref="L22:M22"/>
    <mergeCell ref="L24:M24"/>
    <mergeCell ref="L26:M26"/>
    <mergeCell ref="L14:M14"/>
    <mergeCell ref="L4:M4"/>
    <mergeCell ref="L6:M6"/>
    <mergeCell ref="L8:M8"/>
    <mergeCell ref="L10:M10"/>
    <mergeCell ref="L12:M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3FFB-0F1F-4CBA-9BB5-D8817337CCC1}">
  <dimension ref="A1:AN389"/>
  <sheetViews>
    <sheetView topLeftCell="Z285" workbookViewId="0">
      <selection activeCell="AJ289" sqref="AJ289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33203125" bestFit="1" customWidth="1"/>
    <col min="5" max="5" width="12.21875" bestFit="1" customWidth="1"/>
    <col min="6" max="6" width="6.109375" bestFit="1" customWidth="1"/>
    <col min="7" max="7" width="15.6640625" bestFit="1" customWidth="1"/>
    <col min="8" max="8" width="11.109375" bestFit="1" customWidth="1"/>
    <col min="9" max="9" width="6.109375" bestFit="1" customWidth="1"/>
    <col min="10" max="10" width="10" bestFit="1" customWidth="1"/>
    <col min="11" max="11" width="17.33203125" bestFit="1" customWidth="1"/>
    <col min="12" max="12" width="21.21875" bestFit="1" customWidth="1"/>
    <col min="13" max="13" width="6.109375" bestFit="1" customWidth="1"/>
    <col min="14" max="14" width="21.5546875" bestFit="1" customWidth="1"/>
    <col min="15" max="15" width="30.5546875" bestFit="1" customWidth="1"/>
    <col min="16" max="16" width="17.5546875" bestFit="1" customWidth="1"/>
    <col min="17" max="17" width="24.77734375" bestFit="1" customWidth="1"/>
    <col min="18" max="18" width="7.77734375" bestFit="1" customWidth="1"/>
    <col min="19" max="19" width="9" bestFit="1" customWidth="1"/>
    <col min="20" max="20" width="19.5546875" bestFit="1" customWidth="1"/>
    <col min="21" max="21" width="7.5546875" bestFit="1" customWidth="1"/>
    <col min="22" max="22" width="11.77734375" bestFit="1" customWidth="1"/>
    <col min="23" max="23" width="25.88671875" bestFit="1" customWidth="1"/>
    <col min="24" max="24" width="6.44140625" bestFit="1" customWidth="1"/>
    <col min="25" max="25" width="26" bestFit="1" customWidth="1"/>
    <col min="26" max="26" width="23.77734375" bestFit="1" customWidth="1"/>
    <col min="27" max="27" width="9.21875" bestFit="1" customWidth="1"/>
    <col min="28" max="28" width="22" bestFit="1" customWidth="1"/>
    <col min="29" max="29" width="12.6640625" bestFit="1" customWidth="1"/>
    <col min="30" max="30" width="12.21875" bestFit="1" customWidth="1"/>
    <col min="31" max="31" width="15.88671875" bestFit="1" customWidth="1"/>
    <col min="32" max="32" width="7.77734375" bestFit="1" customWidth="1"/>
    <col min="33" max="33" width="7.5546875" bestFit="1" customWidth="1"/>
    <col min="34" max="34" width="12.109375" bestFit="1" customWidth="1"/>
    <col min="35" max="35" width="5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47</v>
      </c>
      <c r="AF1" s="1" t="s">
        <v>17</v>
      </c>
      <c r="AG1" s="1" t="s">
        <v>20</v>
      </c>
      <c r="AH1" s="1" t="s">
        <v>48</v>
      </c>
      <c r="AI1" s="1" t="s">
        <v>49</v>
      </c>
      <c r="AJ1" s="3" t="s">
        <v>50</v>
      </c>
      <c r="AK1" s="4" t="s">
        <v>51</v>
      </c>
      <c r="AL1" s="4" t="s">
        <v>52</v>
      </c>
      <c r="AM1" s="4" t="s">
        <v>53</v>
      </c>
      <c r="AN1" s="4" t="s">
        <v>54</v>
      </c>
    </row>
    <row r="2" spans="1:40" x14ac:dyDescent="0.3">
      <c r="A2" t="s">
        <v>30</v>
      </c>
      <c r="B2">
        <v>2013</v>
      </c>
      <c r="C2" t="s">
        <v>31</v>
      </c>
      <c r="D2" s="2">
        <v>107.5</v>
      </c>
      <c r="E2" s="2">
        <v>106.3</v>
      </c>
      <c r="F2" s="2">
        <v>108.1</v>
      </c>
      <c r="G2" s="2">
        <v>104.9</v>
      </c>
      <c r="H2" s="2">
        <v>106.1</v>
      </c>
      <c r="I2" s="2">
        <v>103.9</v>
      </c>
      <c r="J2" s="2">
        <v>101.9</v>
      </c>
      <c r="K2" s="2">
        <v>106.1</v>
      </c>
      <c r="L2" s="2">
        <v>106.8</v>
      </c>
      <c r="M2" s="2">
        <v>103.1</v>
      </c>
      <c r="N2" s="2">
        <v>104.8</v>
      </c>
      <c r="O2" s="2">
        <v>106.7</v>
      </c>
      <c r="P2" s="2">
        <v>105.5</v>
      </c>
      <c r="Q2" s="2">
        <v>105.1</v>
      </c>
      <c r="R2" s="2">
        <v>106.5</v>
      </c>
      <c r="S2" s="2">
        <v>105.8</v>
      </c>
      <c r="T2" s="2">
        <v>106.4</v>
      </c>
      <c r="U2" s="2">
        <f>AVERAGE(U3,U4)</f>
        <v>100.3</v>
      </c>
      <c r="V2" s="2">
        <v>105.5</v>
      </c>
      <c r="W2" s="2">
        <v>104.8</v>
      </c>
      <c r="X2" s="2">
        <v>104</v>
      </c>
      <c r="Y2" s="2">
        <v>103.3</v>
      </c>
      <c r="Z2" s="2">
        <v>103.4</v>
      </c>
      <c r="AA2" s="2">
        <v>103.8</v>
      </c>
      <c r="AB2" s="2">
        <v>104.7</v>
      </c>
      <c r="AC2" s="2">
        <v>104</v>
      </c>
      <c r="AD2" s="2">
        <v>105.1</v>
      </c>
      <c r="AE2" s="2">
        <f>SUM(D2:P2)</f>
        <v>1371.6999999999998</v>
      </c>
      <c r="AF2" s="2">
        <f>SUM(R2:T2)</f>
        <v>318.70000000000005</v>
      </c>
      <c r="AG2" s="2">
        <f>SUM(U2,W2)</f>
        <v>205.1</v>
      </c>
      <c r="AH2" s="2">
        <f>SUM(V2)</f>
        <v>105.5</v>
      </c>
      <c r="AI2" s="2">
        <f>SUM(X2:AC2,Q2)</f>
        <v>728.30000000000007</v>
      </c>
      <c r="AJ2" s="2">
        <f>AVERAGE(D2:P2)</f>
        <v>105.5153846153846</v>
      </c>
      <c r="AK2" s="2">
        <f>AVERAGE(R2:T2)</f>
        <v>106.23333333333335</v>
      </c>
      <c r="AL2" s="2">
        <f>AVERAGE(U2,W2)</f>
        <v>102.55</v>
      </c>
      <c r="AM2" s="2">
        <f>AVERAGE(V2)</f>
        <v>105.5</v>
      </c>
      <c r="AN2" s="2">
        <f>AVERAGE(X2:AC2,Q2)</f>
        <v>104.04285714285716</v>
      </c>
    </row>
    <row r="3" spans="1:40" x14ac:dyDescent="0.3">
      <c r="A3" t="s">
        <v>32</v>
      </c>
      <c r="B3">
        <v>2013</v>
      </c>
      <c r="C3" t="s">
        <v>31</v>
      </c>
      <c r="D3" s="2">
        <v>110.5</v>
      </c>
      <c r="E3" s="2">
        <v>109.1</v>
      </c>
      <c r="F3" s="2">
        <v>113</v>
      </c>
      <c r="G3" s="2">
        <v>103.6</v>
      </c>
      <c r="H3" s="2">
        <v>103.4</v>
      </c>
      <c r="I3" s="2">
        <v>102.3</v>
      </c>
      <c r="J3" s="2">
        <v>102.9</v>
      </c>
      <c r="K3" s="2">
        <v>105.8</v>
      </c>
      <c r="L3" s="2">
        <v>105.1</v>
      </c>
      <c r="M3" s="2">
        <v>101.8</v>
      </c>
      <c r="N3" s="2">
        <v>105.1</v>
      </c>
      <c r="O3" s="2">
        <v>107.9</v>
      </c>
      <c r="P3" s="2">
        <v>105.9</v>
      </c>
      <c r="Q3" s="2">
        <v>105.2</v>
      </c>
      <c r="R3" s="2">
        <v>105.9</v>
      </c>
      <c r="S3" s="2">
        <v>105</v>
      </c>
      <c r="T3" s="2">
        <v>105.8</v>
      </c>
      <c r="U3" s="2">
        <v>100.3</v>
      </c>
      <c r="V3" s="2">
        <v>105.4</v>
      </c>
      <c r="W3" s="2">
        <v>104.8</v>
      </c>
      <c r="X3" s="2">
        <v>104.1</v>
      </c>
      <c r="Y3" s="2">
        <v>103.2</v>
      </c>
      <c r="Z3" s="2">
        <v>102.9</v>
      </c>
      <c r="AA3" s="2">
        <v>103.5</v>
      </c>
      <c r="AB3" s="2">
        <v>104.3</v>
      </c>
      <c r="AC3" s="2">
        <v>103.7</v>
      </c>
      <c r="AD3" s="2">
        <v>104</v>
      </c>
      <c r="AE3" s="2">
        <f t="shared" ref="AE3:AE66" si="0">SUM(D3:P3)</f>
        <v>1376.4</v>
      </c>
      <c r="AF3" s="2">
        <f t="shared" ref="AF3:AF66" si="1">SUM(R3:T3)</f>
        <v>316.7</v>
      </c>
      <c r="AG3" s="2">
        <f t="shared" ref="AG3:AG66" si="2">SUM(U3,W3)</f>
        <v>205.1</v>
      </c>
      <c r="AH3" s="2">
        <f t="shared" ref="AH3:AH66" si="3">SUM(V3)</f>
        <v>105.4</v>
      </c>
      <c r="AI3" s="2">
        <f t="shared" ref="AI3:AI66" si="4">SUM(X3:AC3,Q3)</f>
        <v>726.90000000000009</v>
      </c>
      <c r="AJ3" s="2">
        <f t="shared" ref="AJ3:AJ66" si="5">AVERAGE(D3:P3)</f>
        <v>105.87692307692308</v>
      </c>
      <c r="AK3" s="2">
        <f t="shared" ref="AK3:AK66" si="6">AVERAGE(R3:T3)</f>
        <v>105.56666666666666</v>
      </c>
      <c r="AL3" s="2">
        <f t="shared" ref="AL3:AL66" si="7">AVERAGE(U3,W3)</f>
        <v>102.55</v>
      </c>
      <c r="AM3" s="2">
        <f t="shared" ref="AM3:AM66" si="8">AVERAGE(V3)</f>
        <v>105.4</v>
      </c>
      <c r="AN3" s="2">
        <f t="shared" ref="AN3:AN66" si="9">AVERAGE(X3:AC3,Q3)</f>
        <v>103.84285714285716</v>
      </c>
    </row>
    <row r="4" spans="1:40" x14ac:dyDescent="0.3">
      <c r="A4" t="s">
        <v>33</v>
      </c>
      <c r="B4">
        <v>2013</v>
      </c>
      <c r="C4" t="s">
        <v>31</v>
      </c>
      <c r="D4" s="2">
        <v>108.4</v>
      </c>
      <c r="E4" s="2">
        <v>107.3</v>
      </c>
      <c r="F4" s="2">
        <v>110</v>
      </c>
      <c r="G4" s="2">
        <v>104.4</v>
      </c>
      <c r="H4" s="2">
        <v>105.1</v>
      </c>
      <c r="I4" s="2">
        <v>103.2</v>
      </c>
      <c r="J4" s="2">
        <v>102.2</v>
      </c>
      <c r="K4" s="2">
        <v>106</v>
      </c>
      <c r="L4" s="2">
        <v>106.2</v>
      </c>
      <c r="M4" s="2">
        <v>102.7</v>
      </c>
      <c r="N4" s="2">
        <v>104.9</v>
      </c>
      <c r="O4" s="2">
        <v>107.3</v>
      </c>
      <c r="P4" s="2">
        <v>105.6</v>
      </c>
      <c r="Q4" s="2">
        <v>105.1</v>
      </c>
      <c r="R4" s="2">
        <v>106.3</v>
      </c>
      <c r="S4" s="2">
        <v>105.5</v>
      </c>
      <c r="T4" s="2">
        <v>106.2</v>
      </c>
      <c r="U4" s="2">
        <v>100.3</v>
      </c>
      <c r="V4" s="2">
        <v>105.5</v>
      </c>
      <c r="W4" s="2">
        <v>104.8</v>
      </c>
      <c r="X4" s="2">
        <v>104</v>
      </c>
      <c r="Y4" s="2">
        <v>103.2</v>
      </c>
      <c r="Z4" s="2">
        <v>103.1</v>
      </c>
      <c r="AA4" s="2">
        <v>103.6</v>
      </c>
      <c r="AB4" s="2">
        <v>104.5</v>
      </c>
      <c r="AC4" s="2">
        <v>103.9</v>
      </c>
      <c r="AD4" s="2">
        <v>104.6</v>
      </c>
      <c r="AE4" s="2">
        <f t="shared" si="0"/>
        <v>1373.3000000000002</v>
      </c>
      <c r="AF4" s="2">
        <f t="shared" si="1"/>
        <v>318</v>
      </c>
      <c r="AG4" s="2">
        <f t="shared" si="2"/>
        <v>205.1</v>
      </c>
      <c r="AH4" s="2">
        <f t="shared" si="3"/>
        <v>105.5</v>
      </c>
      <c r="AI4" s="2">
        <f t="shared" si="4"/>
        <v>727.4</v>
      </c>
      <c r="AJ4" s="2">
        <f t="shared" si="5"/>
        <v>105.63846153846156</v>
      </c>
      <c r="AK4" s="2">
        <f t="shared" si="6"/>
        <v>106</v>
      </c>
      <c r="AL4" s="2">
        <f t="shared" si="7"/>
        <v>102.55</v>
      </c>
      <c r="AM4" s="2">
        <f t="shared" si="8"/>
        <v>105.5</v>
      </c>
      <c r="AN4" s="2">
        <f t="shared" si="9"/>
        <v>103.91428571428571</v>
      </c>
    </row>
    <row r="5" spans="1:40" x14ac:dyDescent="0.3">
      <c r="A5" t="s">
        <v>30</v>
      </c>
      <c r="B5">
        <v>2013</v>
      </c>
      <c r="C5" t="s">
        <v>34</v>
      </c>
      <c r="D5" s="2">
        <v>109.2</v>
      </c>
      <c r="E5" s="2">
        <v>108.7</v>
      </c>
      <c r="F5" s="2">
        <v>110.2</v>
      </c>
      <c r="G5" s="2">
        <v>105.4</v>
      </c>
      <c r="H5" s="2">
        <v>106.7</v>
      </c>
      <c r="I5" s="2">
        <v>104</v>
      </c>
      <c r="J5" s="2">
        <v>102.4</v>
      </c>
      <c r="K5" s="2">
        <v>105.9</v>
      </c>
      <c r="L5" s="2">
        <v>105.7</v>
      </c>
      <c r="M5" s="2">
        <v>103.1</v>
      </c>
      <c r="N5" s="2">
        <v>105.1</v>
      </c>
      <c r="O5" s="2">
        <v>107.7</v>
      </c>
      <c r="P5" s="2">
        <v>106.3</v>
      </c>
      <c r="Q5" s="2">
        <v>105.6</v>
      </c>
      <c r="R5" s="2">
        <v>107.1</v>
      </c>
      <c r="S5" s="2">
        <v>106.3</v>
      </c>
      <c r="T5" s="2">
        <v>107</v>
      </c>
      <c r="U5" s="2">
        <f>AVERAGE(U6,U7)</f>
        <v>100.4</v>
      </c>
      <c r="V5" s="2">
        <v>106.2</v>
      </c>
      <c r="W5" s="2">
        <v>105.2</v>
      </c>
      <c r="X5" s="2">
        <v>104.4</v>
      </c>
      <c r="Y5" s="2">
        <v>103.9</v>
      </c>
      <c r="Z5" s="2">
        <v>104</v>
      </c>
      <c r="AA5" s="2">
        <v>104.1</v>
      </c>
      <c r="AB5" s="2">
        <v>104.6</v>
      </c>
      <c r="AC5" s="2">
        <v>104.4</v>
      </c>
      <c r="AD5" s="2">
        <v>105.8</v>
      </c>
      <c r="AE5" s="2">
        <f t="shared" si="0"/>
        <v>1380.3999999999999</v>
      </c>
      <c r="AF5" s="2">
        <f t="shared" si="1"/>
        <v>320.39999999999998</v>
      </c>
      <c r="AG5" s="2">
        <f t="shared" si="2"/>
        <v>205.60000000000002</v>
      </c>
      <c r="AH5" s="2">
        <f t="shared" si="3"/>
        <v>106.2</v>
      </c>
      <c r="AI5" s="2">
        <f t="shared" si="4"/>
        <v>731</v>
      </c>
      <c r="AJ5" s="2">
        <f t="shared" si="5"/>
        <v>106.18461538461537</v>
      </c>
      <c r="AK5" s="2">
        <f t="shared" si="6"/>
        <v>106.8</v>
      </c>
      <c r="AL5" s="2">
        <f t="shared" si="7"/>
        <v>102.80000000000001</v>
      </c>
      <c r="AM5" s="2">
        <f t="shared" si="8"/>
        <v>106.2</v>
      </c>
      <c r="AN5" s="2">
        <f t="shared" si="9"/>
        <v>104.42857142857143</v>
      </c>
    </row>
    <row r="6" spans="1:40" x14ac:dyDescent="0.3">
      <c r="A6" t="s">
        <v>32</v>
      </c>
      <c r="B6">
        <v>2013</v>
      </c>
      <c r="C6" t="s">
        <v>34</v>
      </c>
      <c r="D6" s="2">
        <v>112.9</v>
      </c>
      <c r="E6" s="2">
        <v>112.9</v>
      </c>
      <c r="F6" s="2">
        <v>116.9</v>
      </c>
      <c r="G6" s="2">
        <v>104</v>
      </c>
      <c r="H6" s="2">
        <v>103.5</v>
      </c>
      <c r="I6" s="2">
        <v>103.1</v>
      </c>
      <c r="J6" s="2">
        <v>104.9</v>
      </c>
      <c r="K6" s="2">
        <v>104.1</v>
      </c>
      <c r="L6" s="2">
        <v>103.8</v>
      </c>
      <c r="M6" s="2">
        <v>102.3</v>
      </c>
      <c r="N6" s="2">
        <v>106</v>
      </c>
      <c r="O6" s="2">
        <v>109</v>
      </c>
      <c r="P6" s="2">
        <v>107.2</v>
      </c>
      <c r="Q6" s="2">
        <v>106</v>
      </c>
      <c r="R6" s="2">
        <v>106.6</v>
      </c>
      <c r="S6" s="2">
        <v>105.5</v>
      </c>
      <c r="T6" s="2">
        <v>106.4</v>
      </c>
      <c r="U6" s="2">
        <v>100.4</v>
      </c>
      <c r="V6" s="2">
        <v>105.7</v>
      </c>
      <c r="W6" s="2">
        <v>105.2</v>
      </c>
      <c r="X6" s="2">
        <v>104.7</v>
      </c>
      <c r="Y6" s="2">
        <v>104.4</v>
      </c>
      <c r="Z6" s="2">
        <v>103.3</v>
      </c>
      <c r="AA6" s="2">
        <v>103.7</v>
      </c>
      <c r="AB6" s="2">
        <v>104.3</v>
      </c>
      <c r="AC6" s="2">
        <v>104.3</v>
      </c>
      <c r="AD6" s="2">
        <v>104.7</v>
      </c>
      <c r="AE6" s="2">
        <f t="shared" si="0"/>
        <v>1390.6000000000001</v>
      </c>
      <c r="AF6" s="2">
        <f t="shared" si="1"/>
        <v>318.5</v>
      </c>
      <c r="AG6" s="2">
        <f t="shared" si="2"/>
        <v>205.60000000000002</v>
      </c>
      <c r="AH6" s="2">
        <f t="shared" si="3"/>
        <v>105.7</v>
      </c>
      <c r="AI6" s="2">
        <f t="shared" si="4"/>
        <v>730.69999999999993</v>
      </c>
      <c r="AJ6" s="2">
        <f t="shared" si="5"/>
        <v>106.96923076923078</v>
      </c>
      <c r="AK6" s="2">
        <f t="shared" si="6"/>
        <v>106.16666666666667</v>
      </c>
      <c r="AL6" s="2">
        <f t="shared" si="7"/>
        <v>102.80000000000001</v>
      </c>
      <c r="AM6" s="2">
        <f t="shared" si="8"/>
        <v>105.7</v>
      </c>
      <c r="AN6" s="2">
        <f t="shared" si="9"/>
        <v>104.38571428571427</v>
      </c>
    </row>
    <row r="7" spans="1:40" x14ac:dyDescent="0.3">
      <c r="A7" t="s">
        <v>33</v>
      </c>
      <c r="B7">
        <v>2013</v>
      </c>
      <c r="C7" t="s">
        <v>34</v>
      </c>
      <c r="D7" s="2">
        <v>110.4</v>
      </c>
      <c r="E7" s="2">
        <v>110.2</v>
      </c>
      <c r="F7" s="2">
        <v>112.8</v>
      </c>
      <c r="G7" s="2">
        <v>104.9</v>
      </c>
      <c r="H7" s="2">
        <v>105.5</v>
      </c>
      <c r="I7" s="2">
        <v>103.6</v>
      </c>
      <c r="J7" s="2">
        <v>103.2</v>
      </c>
      <c r="K7" s="2">
        <v>105.3</v>
      </c>
      <c r="L7" s="2">
        <v>105.1</v>
      </c>
      <c r="M7" s="2">
        <v>102.8</v>
      </c>
      <c r="N7" s="2">
        <v>105.5</v>
      </c>
      <c r="O7" s="2">
        <v>108.3</v>
      </c>
      <c r="P7" s="2">
        <v>106.6</v>
      </c>
      <c r="Q7" s="2">
        <v>105.7</v>
      </c>
      <c r="R7" s="2">
        <v>106.9</v>
      </c>
      <c r="S7" s="2">
        <v>106</v>
      </c>
      <c r="T7" s="2">
        <v>106.8</v>
      </c>
      <c r="U7" s="2">
        <v>100.4</v>
      </c>
      <c r="V7" s="2">
        <v>106</v>
      </c>
      <c r="W7" s="2">
        <v>105.2</v>
      </c>
      <c r="X7" s="2">
        <v>104.5</v>
      </c>
      <c r="Y7" s="2">
        <v>104.2</v>
      </c>
      <c r="Z7" s="2">
        <v>103.6</v>
      </c>
      <c r="AA7" s="2">
        <v>103.9</v>
      </c>
      <c r="AB7" s="2">
        <v>104.5</v>
      </c>
      <c r="AC7" s="2">
        <v>104.4</v>
      </c>
      <c r="AD7" s="2">
        <v>105.3</v>
      </c>
      <c r="AE7" s="2">
        <f t="shared" si="0"/>
        <v>1384.2</v>
      </c>
      <c r="AF7" s="2">
        <f t="shared" si="1"/>
        <v>319.7</v>
      </c>
      <c r="AG7" s="2">
        <f t="shared" si="2"/>
        <v>205.60000000000002</v>
      </c>
      <c r="AH7" s="2">
        <f t="shared" si="3"/>
        <v>106</v>
      </c>
      <c r="AI7" s="2">
        <f t="shared" si="4"/>
        <v>730.8</v>
      </c>
      <c r="AJ7" s="2">
        <f t="shared" si="5"/>
        <v>106.47692307692309</v>
      </c>
      <c r="AK7" s="2">
        <f t="shared" si="6"/>
        <v>106.56666666666666</v>
      </c>
      <c r="AL7" s="2">
        <f t="shared" si="7"/>
        <v>102.80000000000001</v>
      </c>
      <c r="AM7" s="2">
        <f t="shared" si="8"/>
        <v>106</v>
      </c>
      <c r="AN7" s="2">
        <f t="shared" si="9"/>
        <v>104.39999999999999</v>
      </c>
    </row>
    <row r="8" spans="1:40" x14ac:dyDescent="0.3">
      <c r="A8" t="s">
        <v>30</v>
      </c>
      <c r="B8">
        <v>2013</v>
      </c>
      <c r="C8" t="s">
        <v>35</v>
      </c>
      <c r="D8" s="2">
        <v>110.2</v>
      </c>
      <c r="E8" s="2">
        <v>108.8</v>
      </c>
      <c r="F8" s="2">
        <v>109.9</v>
      </c>
      <c r="G8" s="2">
        <v>105.6</v>
      </c>
      <c r="H8" s="2">
        <v>106.2</v>
      </c>
      <c r="I8" s="2">
        <v>105.7</v>
      </c>
      <c r="J8" s="2">
        <v>101.4</v>
      </c>
      <c r="K8" s="2">
        <v>105.7</v>
      </c>
      <c r="L8" s="2">
        <v>105</v>
      </c>
      <c r="M8" s="2">
        <v>103.3</v>
      </c>
      <c r="N8" s="2">
        <v>105.6</v>
      </c>
      <c r="O8" s="2">
        <v>108.2</v>
      </c>
      <c r="P8" s="2">
        <v>106.6</v>
      </c>
      <c r="Q8" s="2">
        <v>106.5</v>
      </c>
      <c r="R8" s="2">
        <v>107.6</v>
      </c>
      <c r="S8" s="2">
        <v>106.8</v>
      </c>
      <c r="T8" s="2">
        <v>107.5</v>
      </c>
      <c r="U8" s="2">
        <f>AVERAGE(U9,U10)</f>
        <v>100.4</v>
      </c>
      <c r="V8" s="2">
        <v>106.1</v>
      </c>
      <c r="W8" s="2">
        <v>105.6</v>
      </c>
      <c r="X8" s="2">
        <v>104.7</v>
      </c>
      <c r="Y8" s="2">
        <v>104.6</v>
      </c>
      <c r="Z8" s="2">
        <v>104</v>
      </c>
      <c r="AA8" s="2">
        <v>104.3</v>
      </c>
      <c r="AB8" s="2">
        <v>104.3</v>
      </c>
      <c r="AC8" s="2">
        <v>104.6</v>
      </c>
      <c r="AD8" s="2">
        <v>106</v>
      </c>
      <c r="AE8" s="2">
        <f t="shared" si="0"/>
        <v>1382.2</v>
      </c>
      <c r="AF8" s="2">
        <f t="shared" si="1"/>
        <v>321.89999999999998</v>
      </c>
      <c r="AG8" s="2">
        <f t="shared" si="2"/>
        <v>206</v>
      </c>
      <c r="AH8" s="2">
        <f t="shared" si="3"/>
        <v>106.1</v>
      </c>
      <c r="AI8" s="2">
        <f t="shared" si="4"/>
        <v>733</v>
      </c>
      <c r="AJ8" s="2">
        <f t="shared" si="5"/>
        <v>106.32307692307693</v>
      </c>
      <c r="AK8" s="2">
        <f t="shared" si="6"/>
        <v>107.3</v>
      </c>
      <c r="AL8" s="2">
        <f t="shared" si="7"/>
        <v>103</v>
      </c>
      <c r="AM8" s="2">
        <f t="shared" si="8"/>
        <v>106.1</v>
      </c>
      <c r="AN8" s="2">
        <f t="shared" si="9"/>
        <v>104.71428571428571</v>
      </c>
    </row>
    <row r="9" spans="1:40" x14ac:dyDescent="0.3">
      <c r="A9" t="s">
        <v>32</v>
      </c>
      <c r="B9">
        <v>2013</v>
      </c>
      <c r="C9" t="s">
        <v>35</v>
      </c>
      <c r="D9" s="2">
        <v>113.9</v>
      </c>
      <c r="E9" s="2">
        <v>111.4</v>
      </c>
      <c r="F9" s="2">
        <v>113.2</v>
      </c>
      <c r="G9" s="2">
        <v>104.3</v>
      </c>
      <c r="H9" s="2">
        <v>102.7</v>
      </c>
      <c r="I9" s="2">
        <v>104.9</v>
      </c>
      <c r="J9" s="2">
        <v>103.8</v>
      </c>
      <c r="K9" s="2">
        <v>103.5</v>
      </c>
      <c r="L9" s="2">
        <v>102.6</v>
      </c>
      <c r="M9" s="2">
        <v>102.4</v>
      </c>
      <c r="N9" s="2">
        <v>107</v>
      </c>
      <c r="O9" s="2">
        <v>109.8</v>
      </c>
      <c r="P9" s="2">
        <v>107.3</v>
      </c>
      <c r="Q9" s="2">
        <v>106.8</v>
      </c>
      <c r="R9" s="2">
        <v>107.2</v>
      </c>
      <c r="S9" s="2">
        <v>106</v>
      </c>
      <c r="T9" s="2">
        <v>107</v>
      </c>
      <c r="U9" s="2">
        <v>100.4</v>
      </c>
      <c r="V9" s="2">
        <v>106</v>
      </c>
      <c r="W9" s="2">
        <v>105.7</v>
      </c>
      <c r="X9" s="2">
        <v>105.2</v>
      </c>
      <c r="Y9" s="2">
        <v>105.5</v>
      </c>
      <c r="Z9" s="2">
        <v>103.5</v>
      </c>
      <c r="AA9" s="2">
        <v>103.8</v>
      </c>
      <c r="AB9" s="2">
        <v>104.2</v>
      </c>
      <c r="AC9" s="2">
        <v>104.9</v>
      </c>
      <c r="AD9" s="2">
        <v>105</v>
      </c>
      <c r="AE9" s="2">
        <f t="shared" si="0"/>
        <v>1386.8</v>
      </c>
      <c r="AF9" s="2">
        <f t="shared" si="1"/>
        <v>320.2</v>
      </c>
      <c r="AG9" s="2">
        <f t="shared" si="2"/>
        <v>206.10000000000002</v>
      </c>
      <c r="AH9" s="2">
        <f t="shared" si="3"/>
        <v>106</v>
      </c>
      <c r="AI9" s="2">
        <f t="shared" si="4"/>
        <v>733.9</v>
      </c>
      <c r="AJ9" s="2">
        <f t="shared" si="5"/>
        <v>106.67692307692307</v>
      </c>
      <c r="AK9" s="2">
        <f t="shared" si="6"/>
        <v>106.73333333333333</v>
      </c>
      <c r="AL9" s="2">
        <f t="shared" si="7"/>
        <v>103.05000000000001</v>
      </c>
      <c r="AM9" s="2">
        <f t="shared" si="8"/>
        <v>106</v>
      </c>
      <c r="AN9" s="2">
        <f t="shared" si="9"/>
        <v>104.84285714285714</v>
      </c>
    </row>
    <row r="10" spans="1:40" x14ac:dyDescent="0.3">
      <c r="A10" t="s">
        <v>33</v>
      </c>
      <c r="B10">
        <v>2013</v>
      </c>
      <c r="C10" t="s">
        <v>35</v>
      </c>
      <c r="D10" s="2">
        <v>111.4</v>
      </c>
      <c r="E10" s="2">
        <v>109.7</v>
      </c>
      <c r="F10" s="2">
        <v>111.2</v>
      </c>
      <c r="G10" s="2">
        <v>105.1</v>
      </c>
      <c r="H10" s="2">
        <v>104.9</v>
      </c>
      <c r="I10" s="2">
        <v>105.3</v>
      </c>
      <c r="J10" s="2">
        <v>102.2</v>
      </c>
      <c r="K10" s="2">
        <v>105</v>
      </c>
      <c r="L10" s="2">
        <v>104.2</v>
      </c>
      <c r="M10" s="2">
        <v>103</v>
      </c>
      <c r="N10" s="2">
        <v>106.2</v>
      </c>
      <c r="O10" s="2">
        <v>108.9</v>
      </c>
      <c r="P10" s="2">
        <v>106.9</v>
      </c>
      <c r="Q10" s="2">
        <v>106.6</v>
      </c>
      <c r="R10" s="2">
        <v>107.4</v>
      </c>
      <c r="S10" s="2">
        <v>106.5</v>
      </c>
      <c r="T10" s="2">
        <v>107.3</v>
      </c>
      <c r="U10" s="2">
        <v>100.4</v>
      </c>
      <c r="V10" s="2">
        <v>106.1</v>
      </c>
      <c r="W10" s="2">
        <v>105.6</v>
      </c>
      <c r="X10" s="2">
        <v>104.9</v>
      </c>
      <c r="Y10" s="2">
        <v>105.1</v>
      </c>
      <c r="Z10" s="2">
        <v>103.7</v>
      </c>
      <c r="AA10" s="2">
        <v>104</v>
      </c>
      <c r="AB10" s="2">
        <v>104.3</v>
      </c>
      <c r="AC10" s="2">
        <v>104.7</v>
      </c>
      <c r="AD10" s="2">
        <v>105.5</v>
      </c>
      <c r="AE10" s="2">
        <f t="shared" si="0"/>
        <v>1384.0000000000002</v>
      </c>
      <c r="AF10" s="2">
        <f t="shared" si="1"/>
        <v>321.2</v>
      </c>
      <c r="AG10" s="2">
        <f t="shared" si="2"/>
        <v>206</v>
      </c>
      <c r="AH10" s="2">
        <f t="shared" si="3"/>
        <v>106.1</v>
      </c>
      <c r="AI10" s="2">
        <f t="shared" si="4"/>
        <v>733.30000000000007</v>
      </c>
      <c r="AJ10" s="2">
        <f t="shared" si="5"/>
        <v>106.46153846153848</v>
      </c>
      <c r="AK10" s="2">
        <f t="shared" si="6"/>
        <v>107.06666666666666</v>
      </c>
      <c r="AL10" s="2">
        <f t="shared" si="7"/>
        <v>103</v>
      </c>
      <c r="AM10" s="2">
        <f t="shared" si="8"/>
        <v>106.1</v>
      </c>
      <c r="AN10" s="2">
        <f t="shared" si="9"/>
        <v>104.75714285714287</v>
      </c>
    </row>
    <row r="11" spans="1:40" x14ac:dyDescent="0.3">
      <c r="A11" t="s">
        <v>30</v>
      </c>
      <c r="B11">
        <v>2013</v>
      </c>
      <c r="C11" t="s">
        <v>36</v>
      </c>
      <c r="D11" s="2">
        <v>110.2</v>
      </c>
      <c r="E11" s="2">
        <v>109.5</v>
      </c>
      <c r="F11" s="2">
        <v>106.9</v>
      </c>
      <c r="G11" s="2">
        <v>106.3</v>
      </c>
      <c r="H11" s="2">
        <v>105.7</v>
      </c>
      <c r="I11" s="2">
        <v>108.3</v>
      </c>
      <c r="J11" s="2">
        <v>103.4</v>
      </c>
      <c r="K11" s="2">
        <v>105.7</v>
      </c>
      <c r="L11" s="2">
        <v>104.2</v>
      </c>
      <c r="M11" s="2">
        <v>103.2</v>
      </c>
      <c r="N11" s="2">
        <v>106.5</v>
      </c>
      <c r="O11" s="2">
        <v>108.8</v>
      </c>
      <c r="P11" s="2">
        <v>107.1</v>
      </c>
      <c r="Q11" s="2">
        <v>107.1</v>
      </c>
      <c r="R11" s="2">
        <v>108.1</v>
      </c>
      <c r="S11" s="2">
        <v>107.4</v>
      </c>
      <c r="T11" s="2">
        <v>108</v>
      </c>
      <c r="U11" s="2">
        <f>AVERAGE(U12,U13)</f>
        <v>100.5</v>
      </c>
      <c r="V11" s="2">
        <v>106.5</v>
      </c>
      <c r="W11" s="2">
        <v>106.1</v>
      </c>
      <c r="X11" s="2">
        <v>105.1</v>
      </c>
      <c r="Y11" s="2">
        <v>104.4</v>
      </c>
      <c r="Z11" s="2">
        <v>104.5</v>
      </c>
      <c r="AA11" s="2">
        <v>104.8</v>
      </c>
      <c r="AB11" s="2">
        <v>102.7</v>
      </c>
      <c r="AC11" s="2">
        <v>104.6</v>
      </c>
      <c r="AD11" s="2">
        <v>106.4</v>
      </c>
      <c r="AE11" s="2">
        <f t="shared" si="0"/>
        <v>1385.8</v>
      </c>
      <c r="AF11" s="2">
        <f t="shared" si="1"/>
        <v>323.5</v>
      </c>
      <c r="AG11" s="2">
        <f t="shared" si="2"/>
        <v>206.6</v>
      </c>
      <c r="AH11" s="2">
        <f t="shared" si="3"/>
        <v>106.5</v>
      </c>
      <c r="AI11" s="2">
        <f t="shared" si="4"/>
        <v>733.2</v>
      </c>
      <c r="AJ11" s="2">
        <f t="shared" si="5"/>
        <v>106.6</v>
      </c>
      <c r="AK11" s="2">
        <f t="shared" si="6"/>
        <v>107.83333333333333</v>
      </c>
      <c r="AL11" s="2">
        <f t="shared" si="7"/>
        <v>103.3</v>
      </c>
      <c r="AM11" s="2">
        <f t="shared" si="8"/>
        <v>106.5</v>
      </c>
      <c r="AN11" s="2">
        <f t="shared" si="9"/>
        <v>104.74285714285715</v>
      </c>
    </row>
    <row r="12" spans="1:40" x14ac:dyDescent="0.3">
      <c r="A12" t="s">
        <v>32</v>
      </c>
      <c r="B12">
        <v>2013</v>
      </c>
      <c r="C12" t="s">
        <v>36</v>
      </c>
      <c r="D12" s="2">
        <v>114.6</v>
      </c>
      <c r="E12" s="2">
        <v>113.4</v>
      </c>
      <c r="F12" s="2">
        <v>106</v>
      </c>
      <c r="G12" s="2">
        <v>104.7</v>
      </c>
      <c r="H12" s="2">
        <v>102.1</v>
      </c>
      <c r="I12" s="2">
        <v>109.5</v>
      </c>
      <c r="J12" s="2">
        <v>109.7</v>
      </c>
      <c r="K12" s="2">
        <v>104.6</v>
      </c>
      <c r="L12" s="2">
        <v>102</v>
      </c>
      <c r="M12" s="2">
        <v>103.5</v>
      </c>
      <c r="N12" s="2">
        <v>108.2</v>
      </c>
      <c r="O12" s="2">
        <v>110.6</v>
      </c>
      <c r="P12" s="2">
        <v>108.8</v>
      </c>
      <c r="Q12" s="2">
        <v>108.5</v>
      </c>
      <c r="R12" s="2">
        <v>107.9</v>
      </c>
      <c r="S12" s="2">
        <v>106.4</v>
      </c>
      <c r="T12" s="2">
        <v>107.7</v>
      </c>
      <c r="U12" s="2">
        <v>100.5</v>
      </c>
      <c r="V12" s="2">
        <v>106.4</v>
      </c>
      <c r="W12" s="2">
        <v>106.5</v>
      </c>
      <c r="X12" s="2">
        <v>105.7</v>
      </c>
      <c r="Y12" s="2">
        <v>105</v>
      </c>
      <c r="Z12" s="2">
        <v>104</v>
      </c>
      <c r="AA12" s="2">
        <v>105.2</v>
      </c>
      <c r="AB12" s="2">
        <v>103.2</v>
      </c>
      <c r="AC12" s="2">
        <v>105.1</v>
      </c>
      <c r="AD12" s="2">
        <v>105.7</v>
      </c>
      <c r="AE12" s="2">
        <f t="shared" si="0"/>
        <v>1397.6999999999998</v>
      </c>
      <c r="AF12" s="2">
        <f t="shared" si="1"/>
        <v>322</v>
      </c>
      <c r="AG12" s="2">
        <f t="shared" si="2"/>
        <v>207</v>
      </c>
      <c r="AH12" s="2">
        <f t="shared" si="3"/>
        <v>106.4</v>
      </c>
      <c r="AI12" s="2">
        <f t="shared" si="4"/>
        <v>736.7</v>
      </c>
      <c r="AJ12" s="2">
        <f t="shared" si="5"/>
        <v>107.5153846153846</v>
      </c>
      <c r="AK12" s="2">
        <f t="shared" si="6"/>
        <v>107.33333333333333</v>
      </c>
      <c r="AL12" s="2">
        <f t="shared" si="7"/>
        <v>103.5</v>
      </c>
      <c r="AM12" s="2">
        <f t="shared" si="8"/>
        <v>106.4</v>
      </c>
      <c r="AN12" s="2">
        <f t="shared" si="9"/>
        <v>105.24285714285715</v>
      </c>
    </row>
    <row r="13" spans="1:40" x14ac:dyDescent="0.3">
      <c r="A13" t="s">
        <v>33</v>
      </c>
      <c r="B13">
        <v>2013</v>
      </c>
      <c r="C13" t="s">
        <v>36</v>
      </c>
      <c r="D13" s="2">
        <v>111.6</v>
      </c>
      <c r="E13" s="2">
        <v>110.9</v>
      </c>
      <c r="F13" s="2">
        <v>106.6</v>
      </c>
      <c r="G13" s="2">
        <v>105.7</v>
      </c>
      <c r="H13" s="2">
        <v>104.4</v>
      </c>
      <c r="I13" s="2">
        <v>108.9</v>
      </c>
      <c r="J13" s="2">
        <v>105.5</v>
      </c>
      <c r="K13" s="2">
        <v>105.3</v>
      </c>
      <c r="L13" s="2">
        <v>103.5</v>
      </c>
      <c r="M13" s="2">
        <v>103.3</v>
      </c>
      <c r="N13" s="2">
        <v>107.2</v>
      </c>
      <c r="O13" s="2">
        <v>109.6</v>
      </c>
      <c r="P13" s="2">
        <v>107.7</v>
      </c>
      <c r="Q13" s="2">
        <v>107.5</v>
      </c>
      <c r="R13" s="2">
        <v>108</v>
      </c>
      <c r="S13" s="2">
        <v>107</v>
      </c>
      <c r="T13" s="2">
        <v>107.9</v>
      </c>
      <c r="U13" s="2">
        <v>100.5</v>
      </c>
      <c r="V13" s="2">
        <v>106.5</v>
      </c>
      <c r="W13" s="2">
        <v>106.3</v>
      </c>
      <c r="X13" s="2">
        <v>105.3</v>
      </c>
      <c r="Y13" s="2">
        <v>104.7</v>
      </c>
      <c r="Z13" s="2">
        <v>104.2</v>
      </c>
      <c r="AA13" s="2">
        <v>105</v>
      </c>
      <c r="AB13" s="2">
        <v>102.9</v>
      </c>
      <c r="AC13" s="2">
        <v>104.8</v>
      </c>
      <c r="AD13" s="2">
        <v>106.1</v>
      </c>
      <c r="AE13" s="2">
        <f t="shared" si="0"/>
        <v>1390.2</v>
      </c>
      <c r="AF13" s="2">
        <f t="shared" si="1"/>
        <v>322.89999999999998</v>
      </c>
      <c r="AG13" s="2">
        <f t="shared" si="2"/>
        <v>206.8</v>
      </c>
      <c r="AH13" s="2">
        <f t="shared" si="3"/>
        <v>106.5</v>
      </c>
      <c r="AI13" s="2">
        <f t="shared" si="4"/>
        <v>734.4</v>
      </c>
      <c r="AJ13" s="2">
        <f t="shared" si="5"/>
        <v>106.93846153846154</v>
      </c>
      <c r="AK13" s="2">
        <f t="shared" si="6"/>
        <v>107.63333333333333</v>
      </c>
      <c r="AL13" s="2">
        <f t="shared" si="7"/>
        <v>103.4</v>
      </c>
      <c r="AM13" s="2">
        <f t="shared" si="8"/>
        <v>106.5</v>
      </c>
      <c r="AN13" s="2">
        <f t="shared" si="9"/>
        <v>104.91428571428571</v>
      </c>
    </row>
    <row r="14" spans="1:40" x14ac:dyDescent="0.3">
      <c r="A14" t="s">
        <v>30</v>
      </c>
      <c r="B14">
        <v>2013</v>
      </c>
      <c r="C14" t="s">
        <v>37</v>
      </c>
      <c r="D14" s="2">
        <v>110.9</v>
      </c>
      <c r="E14" s="2">
        <v>109.8</v>
      </c>
      <c r="F14" s="2">
        <v>105.9</v>
      </c>
      <c r="G14" s="2">
        <v>107.5</v>
      </c>
      <c r="H14" s="2">
        <v>105.3</v>
      </c>
      <c r="I14" s="2">
        <v>108.1</v>
      </c>
      <c r="J14" s="2">
        <v>107.3</v>
      </c>
      <c r="K14" s="2">
        <v>106.1</v>
      </c>
      <c r="L14" s="2">
        <v>103.7</v>
      </c>
      <c r="M14" s="2">
        <v>104</v>
      </c>
      <c r="N14" s="2">
        <v>107.4</v>
      </c>
      <c r="O14" s="2">
        <v>109.9</v>
      </c>
      <c r="P14" s="2">
        <v>108.1</v>
      </c>
      <c r="Q14" s="2">
        <v>108.1</v>
      </c>
      <c r="R14" s="2">
        <v>108.8</v>
      </c>
      <c r="S14" s="2">
        <v>107.9</v>
      </c>
      <c r="T14" s="2">
        <v>108.6</v>
      </c>
      <c r="U14" s="2">
        <f>AVERAGE(U15,U16)</f>
        <v>100.5</v>
      </c>
      <c r="V14" s="2">
        <v>107.5</v>
      </c>
      <c r="W14" s="2">
        <v>106.8</v>
      </c>
      <c r="X14" s="2">
        <v>105.7</v>
      </c>
      <c r="Y14" s="2">
        <v>104.1</v>
      </c>
      <c r="Z14" s="2">
        <v>105</v>
      </c>
      <c r="AA14" s="2">
        <v>105.5</v>
      </c>
      <c r="AB14" s="2">
        <v>102.1</v>
      </c>
      <c r="AC14" s="2">
        <v>104.8</v>
      </c>
      <c r="AD14" s="2">
        <v>107.2</v>
      </c>
      <c r="AE14" s="2">
        <f t="shared" si="0"/>
        <v>1394</v>
      </c>
      <c r="AF14" s="2">
        <f t="shared" si="1"/>
        <v>325.29999999999995</v>
      </c>
      <c r="AG14" s="2">
        <f t="shared" si="2"/>
        <v>207.3</v>
      </c>
      <c r="AH14" s="2">
        <f t="shared" si="3"/>
        <v>107.5</v>
      </c>
      <c r="AI14" s="2">
        <f t="shared" si="4"/>
        <v>735.3</v>
      </c>
      <c r="AJ14" s="2">
        <f t="shared" si="5"/>
        <v>107.23076923076923</v>
      </c>
      <c r="AK14" s="2">
        <f t="shared" si="6"/>
        <v>108.43333333333332</v>
      </c>
      <c r="AL14" s="2">
        <f t="shared" si="7"/>
        <v>103.65</v>
      </c>
      <c r="AM14" s="2">
        <f t="shared" si="8"/>
        <v>107.5</v>
      </c>
      <c r="AN14" s="2">
        <f t="shared" si="9"/>
        <v>105.04285714285713</v>
      </c>
    </row>
    <row r="15" spans="1:40" x14ac:dyDescent="0.3">
      <c r="A15" t="s">
        <v>32</v>
      </c>
      <c r="B15">
        <v>2013</v>
      </c>
      <c r="C15" t="s">
        <v>37</v>
      </c>
      <c r="D15" s="2">
        <v>115.4</v>
      </c>
      <c r="E15" s="2">
        <v>114.2</v>
      </c>
      <c r="F15" s="2">
        <v>102.7</v>
      </c>
      <c r="G15" s="2">
        <v>105.5</v>
      </c>
      <c r="H15" s="2">
        <v>101.5</v>
      </c>
      <c r="I15" s="2">
        <v>110.6</v>
      </c>
      <c r="J15" s="2">
        <v>123.7</v>
      </c>
      <c r="K15" s="2">
        <v>105.2</v>
      </c>
      <c r="L15" s="2">
        <v>101.9</v>
      </c>
      <c r="M15" s="2">
        <v>105</v>
      </c>
      <c r="N15" s="2">
        <v>109.1</v>
      </c>
      <c r="O15" s="2">
        <v>111.3</v>
      </c>
      <c r="P15" s="2">
        <v>111.1</v>
      </c>
      <c r="Q15" s="2">
        <v>109.8</v>
      </c>
      <c r="R15" s="2">
        <v>108.5</v>
      </c>
      <c r="S15" s="2">
        <v>106.7</v>
      </c>
      <c r="T15" s="2">
        <v>108.3</v>
      </c>
      <c r="U15" s="2">
        <v>100.5</v>
      </c>
      <c r="V15" s="2">
        <v>107.2</v>
      </c>
      <c r="W15" s="2">
        <v>107.1</v>
      </c>
      <c r="X15" s="2">
        <v>106.2</v>
      </c>
      <c r="Y15" s="2">
        <v>103.9</v>
      </c>
      <c r="Z15" s="2">
        <v>104.6</v>
      </c>
      <c r="AA15" s="2">
        <v>105.7</v>
      </c>
      <c r="AB15" s="2">
        <v>102.6</v>
      </c>
      <c r="AC15" s="2">
        <v>104.9</v>
      </c>
      <c r="AD15" s="2">
        <v>106.6</v>
      </c>
      <c r="AE15" s="2">
        <f t="shared" si="0"/>
        <v>1417.1999999999998</v>
      </c>
      <c r="AF15" s="2">
        <f t="shared" si="1"/>
        <v>323.5</v>
      </c>
      <c r="AG15" s="2">
        <f t="shared" si="2"/>
        <v>207.6</v>
      </c>
      <c r="AH15" s="2">
        <f t="shared" si="3"/>
        <v>107.2</v>
      </c>
      <c r="AI15" s="2">
        <f t="shared" si="4"/>
        <v>737.69999999999993</v>
      </c>
      <c r="AJ15" s="2">
        <f t="shared" si="5"/>
        <v>109.0153846153846</v>
      </c>
      <c r="AK15" s="2">
        <f t="shared" si="6"/>
        <v>107.83333333333333</v>
      </c>
      <c r="AL15" s="2">
        <f t="shared" si="7"/>
        <v>103.8</v>
      </c>
      <c r="AM15" s="2">
        <f t="shared" si="8"/>
        <v>107.2</v>
      </c>
      <c r="AN15" s="2">
        <f t="shared" si="9"/>
        <v>105.38571428571427</v>
      </c>
    </row>
    <row r="16" spans="1:40" x14ac:dyDescent="0.3">
      <c r="A16" t="s">
        <v>33</v>
      </c>
      <c r="B16">
        <v>2013</v>
      </c>
      <c r="C16" t="s">
        <v>37</v>
      </c>
      <c r="D16" s="2">
        <v>112.3</v>
      </c>
      <c r="E16" s="2">
        <v>111.3</v>
      </c>
      <c r="F16" s="2">
        <v>104.7</v>
      </c>
      <c r="G16" s="2">
        <v>106.8</v>
      </c>
      <c r="H16" s="2">
        <v>103.9</v>
      </c>
      <c r="I16" s="2">
        <v>109.3</v>
      </c>
      <c r="J16" s="2">
        <v>112.9</v>
      </c>
      <c r="K16" s="2">
        <v>105.8</v>
      </c>
      <c r="L16" s="2">
        <v>103.1</v>
      </c>
      <c r="M16" s="2">
        <v>104.3</v>
      </c>
      <c r="N16" s="2">
        <v>108.1</v>
      </c>
      <c r="O16" s="2">
        <v>110.5</v>
      </c>
      <c r="P16" s="2">
        <v>109.2</v>
      </c>
      <c r="Q16" s="2">
        <v>108.6</v>
      </c>
      <c r="R16" s="2">
        <v>108.7</v>
      </c>
      <c r="S16" s="2">
        <v>107.4</v>
      </c>
      <c r="T16" s="2">
        <v>108.5</v>
      </c>
      <c r="U16" s="2">
        <v>100.5</v>
      </c>
      <c r="V16" s="2">
        <v>107.4</v>
      </c>
      <c r="W16" s="2">
        <v>106.9</v>
      </c>
      <c r="X16" s="2">
        <v>105.9</v>
      </c>
      <c r="Y16" s="2">
        <v>104</v>
      </c>
      <c r="Z16" s="2">
        <v>104.8</v>
      </c>
      <c r="AA16" s="2">
        <v>105.6</v>
      </c>
      <c r="AB16" s="2">
        <v>102.3</v>
      </c>
      <c r="AC16" s="2">
        <v>104.8</v>
      </c>
      <c r="AD16" s="2">
        <v>106.9</v>
      </c>
      <c r="AE16" s="2">
        <f t="shared" si="0"/>
        <v>1402.1999999999998</v>
      </c>
      <c r="AF16" s="2">
        <f t="shared" si="1"/>
        <v>324.60000000000002</v>
      </c>
      <c r="AG16" s="2">
        <f t="shared" si="2"/>
        <v>207.4</v>
      </c>
      <c r="AH16" s="2">
        <f t="shared" si="3"/>
        <v>107.4</v>
      </c>
      <c r="AI16" s="2">
        <f t="shared" si="4"/>
        <v>735.99999999999989</v>
      </c>
      <c r="AJ16" s="2">
        <f t="shared" si="5"/>
        <v>107.86153846153844</v>
      </c>
      <c r="AK16" s="2">
        <f t="shared" si="6"/>
        <v>108.2</v>
      </c>
      <c r="AL16" s="2">
        <f t="shared" si="7"/>
        <v>103.7</v>
      </c>
      <c r="AM16" s="2">
        <f t="shared" si="8"/>
        <v>107.4</v>
      </c>
      <c r="AN16" s="2">
        <f t="shared" si="9"/>
        <v>105.14285714285712</v>
      </c>
    </row>
    <row r="17" spans="1:40" x14ac:dyDescent="0.3">
      <c r="A17" t="s">
        <v>30</v>
      </c>
      <c r="B17">
        <v>2013</v>
      </c>
      <c r="C17" t="s">
        <v>38</v>
      </c>
      <c r="D17" s="2">
        <v>112.3</v>
      </c>
      <c r="E17" s="2">
        <v>112.1</v>
      </c>
      <c r="F17" s="2">
        <v>108.1</v>
      </c>
      <c r="G17" s="2">
        <v>108.3</v>
      </c>
      <c r="H17" s="2">
        <v>105.9</v>
      </c>
      <c r="I17" s="2">
        <v>109.2</v>
      </c>
      <c r="J17" s="2">
        <v>118</v>
      </c>
      <c r="K17" s="2">
        <v>106.8</v>
      </c>
      <c r="L17" s="2">
        <v>104.1</v>
      </c>
      <c r="M17" s="2">
        <v>105.4</v>
      </c>
      <c r="N17" s="2">
        <v>108.2</v>
      </c>
      <c r="O17" s="2">
        <v>111</v>
      </c>
      <c r="P17" s="2">
        <v>110.6</v>
      </c>
      <c r="Q17" s="2">
        <v>109</v>
      </c>
      <c r="R17" s="2">
        <v>109.7</v>
      </c>
      <c r="S17" s="2">
        <v>108.8</v>
      </c>
      <c r="T17" s="2">
        <v>109.5</v>
      </c>
      <c r="U17" s="2">
        <f>AVERAGE(U18,U19)</f>
        <v>106.6</v>
      </c>
      <c r="V17" s="2">
        <v>108.5</v>
      </c>
      <c r="W17" s="2">
        <v>107.5</v>
      </c>
      <c r="X17" s="2">
        <v>106.3</v>
      </c>
      <c r="Y17" s="2">
        <v>105</v>
      </c>
      <c r="Z17" s="2">
        <v>105.6</v>
      </c>
      <c r="AA17" s="2">
        <v>106.5</v>
      </c>
      <c r="AB17" s="2">
        <v>102.5</v>
      </c>
      <c r="AC17" s="2">
        <v>105.5</v>
      </c>
      <c r="AD17" s="2">
        <v>108.9</v>
      </c>
      <c r="AE17" s="2">
        <f t="shared" si="0"/>
        <v>1420</v>
      </c>
      <c r="AF17" s="2">
        <f t="shared" si="1"/>
        <v>328</v>
      </c>
      <c r="AG17" s="2">
        <f t="shared" si="2"/>
        <v>214.1</v>
      </c>
      <c r="AH17" s="2">
        <f t="shared" si="3"/>
        <v>108.5</v>
      </c>
      <c r="AI17" s="2">
        <f t="shared" si="4"/>
        <v>740.4</v>
      </c>
      <c r="AJ17" s="2">
        <f t="shared" si="5"/>
        <v>109.23076923076923</v>
      </c>
      <c r="AK17" s="2">
        <f t="shared" si="6"/>
        <v>109.33333333333333</v>
      </c>
      <c r="AL17" s="2">
        <f t="shared" si="7"/>
        <v>107.05</v>
      </c>
      <c r="AM17" s="2">
        <f t="shared" si="8"/>
        <v>108.5</v>
      </c>
      <c r="AN17" s="2">
        <f t="shared" si="9"/>
        <v>105.77142857142857</v>
      </c>
    </row>
    <row r="18" spans="1:40" x14ac:dyDescent="0.3">
      <c r="A18" t="s">
        <v>32</v>
      </c>
      <c r="B18">
        <v>2013</v>
      </c>
      <c r="C18" t="s">
        <v>38</v>
      </c>
      <c r="D18" s="2">
        <v>117</v>
      </c>
      <c r="E18" s="2">
        <v>120.1</v>
      </c>
      <c r="F18" s="2">
        <v>112.5</v>
      </c>
      <c r="G18" s="2">
        <v>107.3</v>
      </c>
      <c r="H18" s="2">
        <v>101.3</v>
      </c>
      <c r="I18" s="2">
        <v>112.4</v>
      </c>
      <c r="J18" s="2">
        <v>143.6</v>
      </c>
      <c r="K18" s="2">
        <v>105.4</v>
      </c>
      <c r="L18" s="2">
        <v>101.4</v>
      </c>
      <c r="M18" s="2">
        <v>106.4</v>
      </c>
      <c r="N18" s="2">
        <v>110</v>
      </c>
      <c r="O18" s="2">
        <v>112.2</v>
      </c>
      <c r="P18" s="2">
        <v>115</v>
      </c>
      <c r="Q18" s="2">
        <v>110.9</v>
      </c>
      <c r="R18" s="2">
        <v>109.2</v>
      </c>
      <c r="S18" s="2">
        <v>107.2</v>
      </c>
      <c r="T18" s="2">
        <v>108.9</v>
      </c>
      <c r="U18" s="2">
        <v>106.6</v>
      </c>
      <c r="V18" s="2">
        <v>108</v>
      </c>
      <c r="W18" s="2">
        <v>107.7</v>
      </c>
      <c r="X18" s="2">
        <v>106.5</v>
      </c>
      <c r="Y18" s="2">
        <v>105.2</v>
      </c>
      <c r="Z18" s="2">
        <v>105.2</v>
      </c>
      <c r="AA18" s="2">
        <v>108.1</v>
      </c>
      <c r="AB18" s="2">
        <v>103.3</v>
      </c>
      <c r="AC18" s="2">
        <v>106.1</v>
      </c>
      <c r="AD18" s="2">
        <v>109.7</v>
      </c>
      <c r="AE18" s="2">
        <f t="shared" si="0"/>
        <v>1464.6000000000001</v>
      </c>
      <c r="AF18" s="2">
        <f t="shared" si="1"/>
        <v>325.3</v>
      </c>
      <c r="AG18" s="2">
        <f t="shared" si="2"/>
        <v>214.3</v>
      </c>
      <c r="AH18" s="2">
        <f t="shared" si="3"/>
        <v>108</v>
      </c>
      <c r="AI18" s="2">
        <f t="shared" si="4"/>
        <v>745.3</v>
      </c>
      <c r="AJ18" s="2">
        <f t="shared" si="5"/>
        <v>112.66153846153847</v>
      </c>
      <c r="AK18" s="2">
        <f t="shared" si="6"/>
        <v>108.43333333333334</v>
      </c>
      <c r="AL18" s="2">
        <f t="shared" si="7"/>
        <v>107.15</v>
      </c>
      <c r="AM18" s="2">
        <f t="shared" si="8"/>
        <v>108</v>
      </c>
      <c r="AN18" s="2">
        <f t="shared" si="9"/>
        <v>106.47142857142856</v>
      </c>
    </row>
    <row r="19" spans="1:40" x14ac:dyDescent="0.3">
      <c r="A19" t="s">
        <v>33</v>
      </c>
      <c r="B19">
        <v>2013</v>
      </c>
      <c r="C19" t="s">
        <v>38</v>
      </c>
      <c r="D19" s="2">
        <v>113.8</v>
      </c>
      <c r="E19" s="2">
        <v>114.9</v>
      </c>
      <c r="F19" s="2">
        <v>109.8</v>
      </c>
      <c r="G19" s="2">
        <v>107.9</v>
      </c>
      <c r="H19" s="2">
        <v>104.2</v>
      </c>
      <c r="I19" s="2">
        <v>110.7</v>
      </c>
      <c r="J19" s="2">
        <v>126.7</v>
      </c>
      <c r="K19" s="2">
        <v>106.3</v>
      </c>
      <c r="L19" s="2">
        <v>103.2</v>
      </c>
      <c r="M19" s="2">
        <v>105.7</v>
      </c>
      <c r="N19" s="2">
        <v>109</v>
      </c>
      <c r="O19" s="2">
        <v>111.6</v>
      </c>
      <c r="P19" s="2">
        <v>112.2</v>
      </c>
      <c r="Q19" s="2">
        <v>109.5</v>
      </c>
      <c r="R19" s="2">
        <v>109.5</v>
      </c>
      <c r="S19" s="2">
        <v>108.1</v>
      </c>
      <c r="T19" s="2">
        <v>109.3</v>
      </c>
      <c r="U19" s="2">
        <v>106.6</v>
      </c>
      <c r="V19" s="2">
        <v>108.3</v>
      </c>
      <c r="W19" s="2">
        <v>107.6</v>
      </c>
      <c r="X19" s="2">
        <v>106.4</v>
      </c>
      <c r="Y19" s="2">
        <v>105.1</v>
      </c>
      <c r="Z19" s="2">
        <v>105.4</v>
      </c>
      <c r="AA19" s="2">
        <v>107.4</v>
      </c>
      <c r="AB19" s="2">
        <v>102.8</v>
      </c>
      <c r="AC19" s="2">
        <v>105.8</v>
      </c>
      <c r="AD19" s="2">
        <v>109.3</v>
      </c>
      <c r="AE19" s="2">
        <f t="shared" si="0"/>
        <v>1436</v>
      </c>
      <c r="AF19" s="2">
        <f t="shared" si="1"/>
        <v>326.89999999999998</v>
      </c>
      <c r="AG19" s="2">
        <f t="shared" si="2"/>
        <v>214.2</v>
      </c>
      <c r="AH19" s="2">
        <f t="shared" si="3"/>
        <v>108.3</v>
      </c>
      <c r="AI19" s="2">
        <f t="shared" si="4"/>
        <v>742.39999999999986</v>
      </c>
      <c r="AJ19" s="2">
        <f t="shared" si="5"/>
        <v>110.46153846153847</v>
      </c>
      <c r="AK19" s="2">
        <f t="shared" si="6"/>
        <v>108.96666666666665</v>
      </c>
      <c r="AL19" s="2">
        <f t="shared" si="7"/>
        <v>107.1</v>
      </c>
      <c r="AM19" s="2">
        <f t="shared" si="8"/>
        <v>108.3</v>
      </c>
      <c r="AN19" s="2">
        <f t="shared" si="9"/>
        <v>106.05714285714284</v>
      </c>
    </row>
    <row r="20" spans="1:40" x14ac:dyDescent="0.3">
      <c r="A20" t="s">
        <v>30</v>
      </c>
      <c r="B20">
        <v>2013</v>
      </c>
      <c r="C20" t="s">
        <v>39</v>
      </c>
      <c r="D20" s="2">
        <v>113.4</v>
      </c>
      <c r="E20" s="2">
        <v>114.9</v>
      </c>
      <c r="F20" s="2">
        <v>110.5</v>
      </c>
      <c r="G20" s="2">
        <v>109.3</v>
      </c>
      <c r="H20" s="2">
        <v>106.2</v>
      </c>
      <c r="I20" s="2">
        <v>110.3</v>
      </c>
      <c r="J20" s="2">
        <v>129.19999999999999</v>
      </c>
      <c r="K20" s="2">
        <v>107.1</v>
      </c>
      <c r="L20" s="2">
        <v>104.3</v>
      </c>
      <c r="M20" s="2">
        <v>106.4</v>
      </c>
      <c r="N20" s="2">
        <v>109.1</v>
      </c>
      <c r="O20" s="2">
        <v>112.1</v>
      </c>
      <c r="P20" s="2">
        <v>113.1</v>
      </c>
      <c r="Q20" s="2">
        <v>109.8</v>
      </c>
      <c r="R20" s="2">
        <v>110.5</v>
      </c>
      <c r="S20" s="2">
        <v>109.5</v>
      </c>
      <c r="T20" s="2">
        <v>110.3</v>
      </c>
      <c r="U20" s="2">
        <f>AVERAGE(U21,U22)</f>
        <v>107.7</v>
      </c>
      <c r="V20" s="2">
        <v>109.5</v>
      </c>
      <c r="W20" s="2">
        <v>108.3</v>
      </c>
      <c r="X20" s="2">
        <v>106.9</v>
      </c>
      <c r="Y20" s="2">
        <v>106.8</v>
      </c>
      <c r="Z20" s="2">
        <v>106.4</v>
      </c>
      <c r="AA20" s="2">
        <v>107.8</v>
      </c>
      <c r="AB20" s="2">
        <v>102.5</v>
      </c>
      <c r="AC20" s="2">
        <v>106.5</v>
      </c>
      <c r="AD20" s="2">
        <v>110.7</v>
      </c>
      <c r="AE20" s="2">
        <f t="shared" si="0"/>
        <v>1445.8999999999996</v>
      </c>
      <c r="AF20" s="2">
        <f t="shared" si="1"/>
        <v>330.3</v>
      </c>
      <c r="AG20" s="2">
        <f t="shared" si="2"/>
        <v>216</v>
      </c>
      <c r="AH20" s="2">
        <f t="shared" si="3"/>
        <v>109.5</v>
      </c>
      <c r="AI20" s="2">
        <f t="shared" si="4"/>
        <v>746.7</v>
      </c>
      <c r="AJ20" s="2">
        <f t="shared" si="5"/>
        <v>111.22307692307689</v>
      </c>
      <c r="AK20" s="2">
        <f t="shared" si="6"/>
        <v>110.10000000000001</v>
      </c>
      <c r="AL20" s="2">
        <f t="shared" si="7"/>
        <v>108</v>
      </c>
      <c r="AM20" s="2">
        <f t="shared" si="8"/>
        <v>109.5</v>
      </c>
      <c r="AN20" s="2">
        <f t="shared" si="9"/>
        <v>106.67142857142858</v>
      </c>
    </row>
    <row r="21" spans="1:40" x14ac:dyDescent="0.3">
      <c r="A21" t="s">
        <v>32</v>
      </c>
      <c r="B21">
        <v>2013</v>
      </c>
      <c r="C21" t="s">
        <v>39</v>
      </c>
      <c r="D21" s="2">
        <v>117.8</v>
      </c>
      <c r="E21" s="2">
        <v>119.2</v>
      </c>
      <c r="F21" s="2">
        <v>114</v>
      </c>
      <c r="G21" s="2">
        <v>108.3</v>
      </c>
      <c r="H21" s="2">
        <v>101.1</v>
      </c>
      <c r="I21" s="2">
        <v>113.2</v>
      </c>
      <c r="J21" s="2">
        <v>160.9</v>
      </c>
      <c r="K21" s="2">
        <v>105.1</v>
      </c>
      <c r="L21" s="2">
        <v>101.3</v>
      </c>
      <c r="M21" s="2">
        <v>107.5</v>
      </c>
      <c r="N21" s="2">
        <v>110.4</v>
      </c>
      <c r="O21" s="2">
        <v>113.1</v>
      </c>
      <c r="P21" s="2">
        <v>117.5</v>
      </c>
      <c r="Q21" s="2">
        <v>111.7</v>
      </c>
      <c r="R21" s="2">
        <v>109.8</v>
      </c>
      <c r="S21" s="2">
        <v>107.8</v>
      </c>
      <c r="T21" s="2">
        <v>109.5</v>
      </c>
      <c r="U21" s="2">
        <v>107.7</v>
      </c>
      <c r="V21" s="2">
        <v>108.6</v>
      </c>
      <c r="W21" s="2">
        <v>108.1</v>
      </c>
      <c r="X21" s="2">
        <v>107.1</v>
      </c>
      <c r="Y21" s="2">
        <v>107.3</v>
      </c>
      <c r="Z21" s="2">
        <v>105.9</v>
      </c>
      <c r="AA21" s="2">
        <v>110.1</v>
      </c>
      <c r="AB21" s="2">
        <v>103.2</v>
      </c>
      <c r="AC21" s="2">
        <v>107.3</v>
      </c>
      <c r="AD21" s="2">
        <v>111.4</v>
      </c>
      <c r="AE21" s="2">
        <f t="shared" si="0"/>
        <v>1489.4</v>
      </c>
      <c r="AF21" s="2">
        <f t="shared" si="1"/>
        <v>327.10000000000002</v>
      </c>
      <c r="AG21" s="2">
        <f t="shared" si="2"/>
        <v>215.8</v>
      </c>
      <c r="AH21" s="2">
        <f t="shared" si="3"/>
        <v>108.6</v>
      </c>
      <c r="AI21" s="2">
        <f t="shared" si="4"/>
        <v>752.6</v>
      </c>
      <c r="AJ21" s="2">
        <f t="shared" si="5"/>
        <v>114.56923076923077</v>
      </c>
      <c r="AK21" s="2">
        <f t="shared" si="6"/>
        <v>109.03333333333335</v>
      </c>
      <c r="AL21" s="2">
        <f t="shared" si="7"/>
        <v>107.9</v>
      </c>
      <c r="AM21" s="2">
        <f t="shared" si="8"/>
        <v>108.6</v>
      </c>
      <c r="AN21" s="2">
        <f t="shared" si="9"/>
        <v>107.51428571428572</v>
      </c>
    </row>
    <row r="22" spans="1:40" x14ac:dyDescent="0.3">
      <c r="A22" t="s">
        <v>33</v>
      </c>
      <c r="B22">
        <v>2013</v>
      </c>
      <c r="C22" t="s">
        <v>39</v>
      </c>
      <c r="D22" s="2">
        <v>114.8</v>
      </c>
      <c r="E22" s="2">
        <v>116.4</v>
      </c>
      <c r="F22" s="2">
        <v>111.9</v>
      </c>
      <c r="G22" s="2">
        <v>108.9</v>
      </c>
      <c r="H22" s="2">
        <v>104.3</v>
      </c>
      <c r="I22" s="2">
        <v>111.7</v>
      </c>
      <c r="J22" s="2">
        <v>140</v>
      </c>
      <c r="K22" s="2">
        <v>106.4</v>
      </c>
      <c r="L22" s="2">
        <v>103.3</v>
      </c>
      <c r="M22" s="2">
        <v>106.8</v>
      </c>
      <c r="N22" s="2">
        <v>109.6</v>
      </c>
      <c r="O22" s="2">
        <v>112.6</v>
      </c>
      <c r="P22" s="2">
        <v>114.7</v>
      </c>
      <c r="Q22" s="2">
        <v>110.3</v>
      </c>
      <c r="R22" s="2">
        <v>110.2</v>
      </c>
      <c r="S22" s="2">
        <v>108.8</v>
      </c>
      <c r="T22" s="2">
        <v>110</v>
      </c>
      <c r="U22" s="2">
        <v>107.7</v>
      </c>
      <c r="V22" s="2">
        <v>109.2</v>
      </c>
      <c r="W22" s="2">
        <v>108.2</v>
      </c>
      <c r="X22" s="2">
        <v>107</v>
      </c>
      <c r="Y22" s="2">
        <v>107.1</v>
      </c>
      <c r="Z22" s="2">
        <v>106.1</v>
      </c>
      <c r="AA22" s="2">
        <v>109.1</v>
      </c>
      <c r="AB22" s="2">
        <v>102.8</v>
      </c>
      <c r="AC22" s="2">
        <v>106.9</v>
      </c>
      <c r="AD22" s="2">
        <v>111</v>
      </c>
      <c r="AE22" s="2">
        <f t="shared" si="0"/>
        <v>1461.3999999999999</v>
      </c>
      <c r="AF22" s="2">
        <f t="shared" si="1"/>
        <v>329</v>
      </c>
      <c r="AG22" s="2">
        <f t="shared" si="2"/>
        <v>215.9</v>
      </c>
      <c r="AH22" s="2">
        <f t="shared" si="3"/>
        <v>109.2</v>
      </c>
      <c r="AI22" s="2">
        <f t="shared" si="4"/>
        <v>749.29999999999984</v>
      </c>
      <c r="AJ22" s="2">
        <f t="shared" si="5"/>
        <v>112.41538461538461</v>
      </c>
      <c r="AK22" s="2">
        <f t="shared" si="6"/>
        <v>109.66666666666667</v>
      </c>
      <c r="AL22" s="2">
        <f t="shared" si="7"/>
        <v>107.95</v>
      </c>
      <c r="AM22" s="2">
        <f t="shared" si="8"/>
        <v>109.2</v>
      </c>
      <c r="AN22" s="2">
        <f t="shared" si="9"/>
        <v>107.04285714285712</v>
      </c>
    </row>
    <row r="23" spans="1:40" x14ac:dyDescent="0.3">
      <c r="A23" t="s">
        <v>30</v>
      </c>
      <c r="B23">
        <v>2013</v>
      </c>
      <c r="C23" t="s">
        <v>40</v>
      </c>
      <c r="D23" s="2">
        <v>114.3</v>
      </c>
      <c r="E23" s="2">
        <v>115.4</v>
      </c>
      <c r="F23" s="2">
        <v>111.1</v>
      </c>
      <c r="G23" s="2">
        <v>110</v>
      </c>
      <c r="H23" s="2">
        <v>106.4</v>
      </c>
      <c r="I23" s="2">
        <v>110.8</v>
      </c>
      <c r="J23" s="2">
        <v>138.9</v>
      </c>
      <c r="K23" s="2">
        <v>107.4</v>
      </c>
      <c r="L23" s="2">
        <v>104.1</v>
      </c>
      <c r="M23" s="2">
        <v>106.9</v>
      </c>
      <c r="N23" s="2">
        <v>109.7</v>
      </c>
      <c r="O23" s="2">
        <v>112.6</v>
      </c>
      <c r="P23" s="2">
        <v>114.9</v>
      </c>
      <c r="Q23" s="2">
        <v>110.7</v>
      </c>
      <c r="R23" s="2">
        <v>111.3</v>
      </c>
      <c r="S23" s="2">
        <v>110.2</v>
      </c>
      <c r="T23" s="2">
        <v>111.1</v>
      </c>
      <c r="U23" s="2">
        <f>AVERAGE(U24,U25)</f>
        <v>108.9</v>
      </c>
      <c r="V23" s="2">
        <v>109.9</v>
      </c>
      <c r="W23" s="2">
        <v>108.7</v>
      </c>
      <c r="X23" s="2">
        <v>107.5</v>
      </c>
      <c r="Y23" s="2">
        <v>107.8</v>
      </c>
      <c r="Z23" s="2">
        <v>106.8</v>
      </c>
      <c r="AA23" s="2">
        <v>108.7</v>
      </c>
      <c r="AB23" s="2">
        <v>105</v>
      </c>
      <c r="AC23" s="2">
        <v>107.5</v>
      </c>
      <c r="AD23" s="2">
        <v>112.1</v>
      </c>
      <c r="AE23" s="2">
        <f t="shared" si="0"/>
        <v>1462.5</v>
      </c>
      <c r="AF23" s="2">
        <f t="shared" si="1"/>
        <v>332.6</v>
      </c>
      <c r="AG23" s="2">
        <f t="shared" si="2"/>
        <v>217.60000000000002</v>
      </c>
      <c r="AH23" s="2">
        <f t="shared" si="3"/>
        <v>109.9</v>
      </c>
      <c r="AI23" s="2">
        <f t="shared" si="4"/>
        <v>754</v>
      </c>
      <c r="AJ23" s="2">
        <f t="shared" si="5"/>
        <v>112.5</v>
      </c>
      <c r="AK23" s="2">
        <f t="shared" si="6"/>
        <v>110.86666666666667</v>
      </c>
      <c r="AL23" s="2">
        <f t="shared" si="7"/>
        <v>108.80000000000001</v>
      </c>
      <c r="AM23" s="2">
        <f t="shared" si="8"/>
        <v>109.9</v>
      </c>
      <c r="AN23" s="2">
        <f t="shared" si="9"/>
        <v>107.71428571428571</v>
      </c>
    </row>
    <row r="24" spans="1:40" x14ac:dyDescent="0.3">
      <c r="A24" t="s">
        <v>32</v>
      </c>
      <c r="B24">
        <v>2013</v>
      </c>
      <c r="C24" t="s">
        <v>40</v>
      </c>
      <c r="D24" s="2">
        <v>118.3</v>
      </c>
      <c r="E24" s="2">
        <v>120.4</v>
      </c>
      <c r="F24" s="2">
        <v>112.7</v>
      </c>
      <c r="G24" s="2">
        <v>108.9</v>
      </c>
      <c r="H24" s="2">
        <v>101.1</v>
      </c>
      <c r="I24" s="2">
        <v>108.7</v>
      </c>
      <c r="J24" s="2">
        <v>177</v>
      </c>
      <c r="K24" s="2">
        <v>104.7</v>
      </c>
      <c r="L24" s="2">
        <v>101</v>
      </c>
      <c r="M24" s="2">
        <v>108.5</v>
      </c>
      <c r="N24" s="2">
        <v>110.9</v>
      </c>
      <c r="O24" s="2">
        <v>114.3</v>
      </c>
      <c r="P24" s="2">
        <v>119.6</v>
      </c>
      <c r="Q24" s="2">
        <v>112.4</v>
      </c>
      <c r="R24" s="2">
        <v>110.6</v>
      </c>
      <c r="S24" s="2">
        <v>108.3</v>
      </c>
      <c r="T24" s="2">
        <v>110.2</v>
      </c>
      <c r="U24" s="2">
        <v>108.9</v>
      </c>
      <c r="V24" s="2">
        <v>109.3</v>
      </c>
      <c r="W24" s="2">
        <v>108.7</v>
      </c>
      <c r="X24" s="2">
        <v>107.6</v>
      </c>
      <c r="Y24" s="2">
        <v>108.1</v>
      </c>
      <c r="Z24" s="2">
        <v>106.5</v>
      </c>
      <c r="AA24" s="2">
        <v>110.8</v>
      </c>
      <c r="AB24" s="2">
        <v>106</v>
      </c>
      <c r="AC24" s="2">
        <v>108.3</v>
      </c>
      <c r="AD24" s="2">
        <v>112.7</v>
      </c>
      <c r="AE24" s="2">
        <f t="shared" si="0"/>
        <v>1506.1000000000001</v>
      </c>
      <c r="AF24" s="2">
        <f t="shared" si="1"/>
        <v>329.09999999999997</v>
      </c>
      <c r="AG24" s="2">
        <f t="shared" si="2"/>
        <v>217.60000000000002</v>
      </c>
      <c r="AH24" s="2">
        <f t="shared" si="3"/>
        <v>109.3</v>
      </c>
      <c r="AI24" s="2">
        <f t="shared" si="4"/>
        <v>759.69999999999993</v>
      </c>
      <c r="AJ24" s="2">
        <f t="shared" si="5"/>
        <v>115.85384615384616</v>
      </c>
      <c r="AK24" s="2">
        <f t="shared" si="6"/>
        <v>109.69999999999999</v>
      </c>
      <c r="AL24" s="2">
        <f t="shared" si="7"/>
        <v>108.80000000000001</v>
      </c>
      <c r="AM24" s="2">
        <f t="shared" si="8"/>
        <v>109.3</v>
      </c>
      <c r="AN24" s="2">
        <f t="shared" si="9"/>
        <v>108.52857142857142</v>
      </c>
    </row>
    <row r="25" spans="1:40" x14ac:dyDescent="0.3">
      <c r="A25" t="s">
        <v>33</v>
      </c>
      <c r="B25">
        <v>2013</v>
      </c>
      <c r="C25" t="s">
        <v>40</v>
      </c>
      <c r="D25" s="2">
        <v>115.6</v>
      </c>
      <c r="E25" s="2">
        <v>117.2</v>
      </c>
      <c r="F25" s="2">
        <v>111.7</v>
      </c>
      <c r="G25" s="2">
        <v>109.6</v>
      </c>
      <c r="H25" s="2">
        <v>104.5</v>
      </c>
      <c r="I25" s="2">
        <v>109.8</v>
      </c>
      <c r="J25" s="2">
        <v>151.80000000000001</v>
      </c>
      <c r="K25" s="2">
        <v>106.5</v>
      </c>
      <c r="L25" s="2">
        <v>103.1</v>
      </c>
      <c r="M25" s="2">
        <v>107.4</v>
      </c>
      <c r="N25" s="2">
        <v>110.2</v>
      </c>
      <c r="O25" s="2">
        <v>113.4</v>
      </c>
      <c r="P25" s="2">
        <v>116.6</v>
      </c>
      <c r="Q25" s="2">
        <v>111.2</v>
      </c>
      <c r="R25" s="2">
        <v>111</v>
      </c>
      <c r="S25" s="2">
        <v>109.4</v>
      </c>
      <c r="T25" s="2">
        <v>110.7</v>
      </c>
      <c r="U25" s="2">
        <v>108.9</v>
      </c>
      <c r="V25" s="2">
        <v>109.7</v>
      </c>
      <c r="W25" s="2">
        <v>108.7</v>
      </c>
      <c r="X25" s="2">
        <v>107.5</v>
      </c>
      <c r="Y25" s="2">
        <v>108</v>
      </c>
      <c r="Z25" s="2">
        <v>106.6</v>
      </c>
      <c r="AA25" s="2">
        <v>109.9</v>
      </c>
      <c r="AB25" s="2">
        <v>105.4</v>
      </c>
      <c r="AC25" s="2">
        <v>107.9</v>
      </c>
      <c r="AD25" s="2">
        <v>112.4</v>
      </c>
      <c r="AE25" s="2">
        <f t="shared" si="0"/>
        <v>1477.4</v>
      </c>
      <c r="AF25" s="2">
        <f t="shared" si="1"/>
        <v>331.1</v>
      </c>
      <c r="AG25" s="2">
        <f t="shared" si="2"/>
        <v>217.60000000000002</v>
      </c>
      <c r="AH25" s="2">
        <f t="shared" si="3"/>
        <v>109.7</v>
      </c>
      <c r="AI25" s="2">
        <f t="shared" si="4"/>
        <v>756.5</v>
      </c>
      <c r="AJ25" s="2">
        <f t="shared" si="5"/>
        <v>113.64615384615385</v>
      </c>
      <c r="AK25" s="2">
        <f t="shared" si="6"/>
        <v>110.36666666666667</v>
      </c>
      <c r="AL25" s="2">
        <f t="shared" si="7"/>
        <v>108.80000000000001</v>
      </c>
      <c r="AM25" s="2">
        <f t="shared" si="8"/>
        <v>109.7</v>
      </c>
      <c r="AN25" s="2">
        <f t="shared" si="9"/>
        <v>108.07142857142857</v>
      </c>
    </row>
    <row r="26" spans="1:40" x14ac:dyDescent="0.3">
      <c r="A26" t="s">
        <v>30</v>
      </c>
      <c r="B26">
        <v>2013</v>
      </c>
      <c r="C26" t="s">
        <v>41</v>
      </c>
      <c r="D26" s="2">
        <v>115.4</v>
      </c>
      <c r="E26" s="2">
        <v>115.7</v>
      </c>
      <c r="F26" s="2">
        <v>111.7</v>
      </c>
      <c r="G26" s="2">
        <v>111</v>
      </c>
      <c r="H26" s="2">
        <v>107.4</v>
      </c>
      <c r="I26" s="2">
        <v>110.9</v>
      </c>
      <c r="J26" s="2">
        <v>154</v>
      </c>
      <c r="K26" s="2">
        <v>108.1</v>
      </c>
      <c r="L26" s="2">
        <v>104.2</v>
      </c>
      <c r="M26" s="2">
        <v>107.9</v>
      </c>
      <c r="N26" s="2">
        <v>110.4</v>
      </c>
      <c r="O26" s="2">
        <v>114</v>
      </c>
      <c r="P26" s="2">
        <v>117.8</v>
      </c>
      <c r="Q26" s="2">
        <v>111.7</v>
      </c>
      <c r="R26" s="2">
        <v>112.7</v>
      </c>
      <c r="S26" s="2">
        <v>111.4</v>
      </c>
      <c r="T26" s="2">
        <v>112.5</v>
      </c>
      <c r="U26" s="2">
        <f>AVERAGE(U27,U28)</f>
        <v>109.7</v>
      </c>
      <c r="V26" s="2">
        <v>111.1</v>
      </c>
      <c r="W26" s="2">
        <v>109.6</v>
      </c>
      <c r="X26" s="2">
        <v>108.3</v>
      </c>
      <c r="Y26" s="2">
        <v>109.3</v>
      </c>
      <c r="Z26" s="2">
        <v>107.7</v>
      </c>
      <c r="AA26" s="2">
        <v>109.8</v>
      </c>
      <c r="AB26" s="2">
        <v>106.7</v>
      </c>
      <c r="AC26" s="2">
        <v>108.7</v>
      </c>
      <c r="AD26" s="2">
        <v>114.2</v>
      </c>
      <c r="AE26" s="2">
        <f t="shared" si="0"/>
        <v>1488.5000000000002</v>
      </c>
      <c r="AF26" s="2">
        <f t="shared" si="1"/>
        <v>336.6</v>
      </c>
      <c r="AG26" s="2">
        <f t="shared" si="2"/>
        <v>219.3</v>
      </c>
      <c r="AH26" s="2">
        <f t="shared" si="3"/>
        <v>111.1</v>
      </c>
      <c r="AI26" s="2">
        <f t="shared" si="4"/>
        <v>762.20000000000016</v>
      </c>
      <c r="AJ26" s="2">
        <f t="shared" si="5"/>
        <v>114.50000000000001</v>
      </c>
      <c r="AK26" s="2">
        <f t="shared" si="6"/>
        <v>112.2</v>
      </c>
      <c r="AL26" s="2">
        <f t="shared" si="7"/>
        <v>109.65</v>
      </c>
      <c r="AM26" s="2">
        <f t="shared" si="8"/>
        <v>111.1</v>
      </c>
      <c r="AN26" s="2">
        <f t="shared" si="9"/>
        <v>108.88571428571431</v>
      </c>
    </row>
    <row r="27" spans="1:40" x14ac:dyDescent="0.3">
      <c r="A27" t="s">
        <v>32</v>
      </c>
      <c r="B27">
        <v>2013</v>
      </c>
      <c r="C27" t="s">
        <v>41</v>
      </c>
      <c r="D27" s="2">
        <v>118.6</v>
      </c>
      <c r="E27" s="2">
        <v>119.1</v>
      </c>
      <c r="F27" s="2">
        <v>113.2</v>
      </c>
      <c r="G27" s="2">
        <v>109.6</v>
      </c>
      <c r="H27" s="2">
        <v>101.7</v>
      </c>
      <c r="I27" s="2">
        <v>103.2</v>
      </c>
      <c r="J27" s="2">
        <v>174.3</v>
      </c>
      <c r="K27" s="2">
        <v>105.1</v>
      </c>
      <c r="L27" s="2">
        <v>100.8</v>
      </c>
      <c r="M27" s="2">
        <v>109.1</v>
      </c>
      <c r="N27" s="2">
        <v>111.1</v>
      </c>
      <c r="O27" s="2">
        <v>115.4</v>
      </c>
      <c r="P27" s="2">
        <v>119.2</v>
      </c>
      <c r="Q27" s="2">
        <v>112.9</v>
      </c>
      <c r="R27" s="2">
        <v>111.4</v>
      </c>
      <c r="S27" s="2">
        <v>109</v>
      </c>
      <c r="T27" s="2">
        <v>111.1</v>
      </c>
      <c r="U27" s="2">
        <v>109.7</v>
      </c>
      <c r="V27" s="2">
        <v>109.5</v>
      </c>
      <c r="W27" s="2">
        <v>109.6</v>
      </c>
      <c r="X27" s="2">
        <v>107.9</v>
      </c>
      <c r="Y27" s="2">
        <v>110.4</v>
      </c>
      <c r="Z27" s="2">
        <v>107.4</v>
      </c>
      <c r="AA27" s="2">
        <v>111.2</v>
      </c>
      <c r="AB27" s="2">
        <v>106.9</v>
      </c>
      <c r="AC27" s="2">
        <v>109.4</v>
      </c>
      <c r="AD27" s="2">
        <v>113.2</v>
      </c>
      <c r="AE27" s="2">
        <f t="shared" si="0"/>
        <v>1500.4</v>
      </c>
      <c r="AF27" s="2">
        <f t="shared" si="1"/>
        <v>331.5</v>
      </c>
      <c r="AG27" s="2">
        <f t="shared" si="2"/>
        <v>219.3</v>
      </c>
      <c r="AH27" s="2">
        <f t="shared" si="3"/>
        <v>109.5</v>
      </c>
      <c r="AI27" s="2">
        <f t="shared" si="4"/>
        <v>766.1</v>
      </c>
      <c r="AJ27" s="2">
        <f t="shared" si="5"/>
        <v>115.41538461538462</v>
      </c>
      <c r="AK27" s="2">
        <f t="shared" si="6"/>
        <v>110.5</v>
      </c>
      <c r="AL27" s="2">
        <f t="shared" si="7"/>
        <v>109.65</v>
      </c>
      <c r="AM27" s="2">
        <f t="shared" si="8"/>
        <v>109.5</v>
      </c>
      <c r="AN27" s="2">
        <f t="shared" si="9"/>
        <v>109.44285714285715</v>
      </c>
    </row>
    <row r="28" spans="1:40" x14ac:dyDescent="0.3">
      <c r="A28" t="s">
        <v>33</v>
      </c>
      <c r="B28">
        <v>2013</v>
      </c>
      <c r="C28" t="s">
        <v>41</v>
      </c>
      <c r="D28" s="2">
        <v>116.4</v>
      </c>
      <c r="E28" s="2">
        <v>116.9</v>
      </c>
      <c r="F28" s="2">
        <v>112.3</v>
      </c>
      <c r="G28" s="2">
        <v>110.5</v>
      </c>
      <c r="H28" s="2">
        <v>105.3</v>
      </c>
      <c r="I28" s="2">
        <v>107.3</v>
      </c>
      <c r="J28" s="2">
        <v>160.9</v>
      </c>
      <c r="K28" s="2">
        <v>107.1</v>
      </c>
      <c r="L28" s="2">
        <v>103.1</v>
      </c>
      <c r="M28" s="2">
        <v>108.3</v>
      </c>
      <c r="N28" s="2">
        <v>110.7</v>
      </c>
      <c r="O28" s="2">
        <v>114.6</v>
      </c>
      <c r="P28" s="2">
        <v>118.3</v>
      </c>
      <c r="Q28" s="2">
        <v>112</v>
      </c>
      <c r="R28" s="2">
        <v>112.2</v>
      </c>
      <c r="S28" s="2">
        <v>110.4</v>
      </c>
      <c r="T28" s="2">
        <v>111.9</v>
      </c>
      <c r="U28" s="2">
        <v>109.7</v>
      </c>
      <c r="V28" s="2">
        <v>110.5</v>
      </c>
      <c r="W28" s="2">
        <v>109.6</v>
      </c>
      <c r="X28" s="2">
        <v>108.1</v>
      </c>
      <c r="Y28" s="2">
        <v>109.9</v>
      </c>
      <c r="Z28" s="2">
        <v>107.5</v>
      </c>
      <c r="AA28" s="2">
        <v>110.6</v>
      </c>
      <c r="AB28" s="2">
        <v>106.8</v>
      </c>
      <c r="AC28" s="2">
        <v>109</v>
      </c>
      <c r="AD28" s="2">
        <v>113.7</v>
      </c>
      <c r="AE28" s="2">
        <f t="shared" si="0"/>
        <v>1491.6999999999998</v>
      </c>
      <c r="AF28" s="2">
        <f t="shared" si="1"/>
        <v>334.5</v>
      </c>
      <c r="AG28" s="2">
        <f t="shared" si="2"/>
        <v>219.3</v>
      </c>
      <c r="AH28" s="2">
        <f t="shared" si="3"/>
        <v>110.5</v>
      </c>
      <c r="AI28" s="2">
        <f t="shared" si="4"/>
        <v>763.9</v>
      </c>
      <c r="AJ28" s="2">
        <f t="shared" si="5"/>
        <v>114.74615384615383</v>
      </c>
      <c r="AK28" s="2">
        <f t="shared" si="6"/>
        <v>111.5</v>
      </c>
      <c r="AL28" s="2">
        <f t="shared" si="7"/>
        <v>109.65</v>
      </c>
      <c r="AM28" s="2">
        <f t="shared" si="8"/>
        <v>110.5</v>
      </c>
      <c r="AN28" s="2">
        <f t="shared" si="9"/>
        <v>109.12857142857142</v>
      </c>
    </row>
    <row r="29" spans="1:40" x14ac:dyDescent="0.3">
      <c r="A29" t="s">
        <v>30</v>
      </c>
      <c r="B29">
        <v>2013</v>
      </c>
      <c r="C29" t="s">
        <v>42</v>
      </c>
      <c r="D29" s="2">
        <v>116.3</v>
      </c>
      <c r="E29" s="2">
        <v>115.4</v>
      </c>
      <c r="F29" s="2">
        <v>112.6</v>
      </c>
      <c r="G29" s="2">
        <v>111.7</v>
      </c>
      <c r="H29" s="2">
        <v>107.7</v>
      </c>
      <c r="I29" s="2">
        <v>113.2</v>
      </c>
      <c r="J29" s="2">
        <v>164.9</v>
      </c>
      <c r="K29" s="2">
        <v>108.3</v>
      </c>
      <c r="L29" s="2">
        <v>103.9</v>
      </c>
      <c r="M29" s="2">
        <v>108.2</v>
      </c>
      <c r="N29" s="2">
        <v>111.1</v>
      </c>
      <c r="O29" s="2">
        <v>114.9</v>
      </c>
      <c r="P29" s="2">
        <v>119.8</v>
      </c>
      <c r="Q29" s="2">
        <v>112.2</v>
      </c>
      <c r="R29" s="2">
        <v>113.6</v>
      </c>
      <c r="S29" s="2">
        <v>112.3</v>
      </c>
      <c r="T29" s="2">
        <v>113.4</v>
      </c>
      <c r="U29" s="2">
        <f>AVERAGE(U30,U31)</f>
        <v>110.5</v>
      </c>
      <c r="V29" s="2">
        <v>111.6</v>
      </c>
      <c r="W29" s="2">
        <v>110.4</v>
      </c>
      <c r="X29" s="2">
        <v>108.9</v>
      </c>
      <c r="Y29" s="2">
        <v>109.3</v>
      </c>
      <c r="Z29" s="2">
        <v>108.3</v>
      </c>
      <c r="AA29" s="2">
        <v>110.2</v>
      </c>
      <c r="AB29" s="2">
        <v>107.5</v>
      </c>
      <c r="AC29" s="2">
        <v>109.1</v>
      </c>
      <c r="AD29" s="2">
        <v>115.5</v>
      </c>
      <c r="AE29" s="2">
        <f t="shared" si="0"/>
        <v>1508</v>
      </c>
      <c r="AF29" s="2">
        <f t="shared" si="1"/>
        <v>339.29999999999995</v>
      </c>
      <c r="AG29" s="2">
        <f t="shared" si="2"/>
        <v>220.9</v>
      </c>
      <c r="AH29" s="2">
        <f t="shared" si="3"/>
        <v>111.6</v>
      </c>
      <c r="AI29" s="2">
        <f t="shared" si="4"/>
        <v>765.50000000000011</v>
      </c>
      <c r="AJ29" s="2">
        <f t="shared" si="5"/>
        <v>116</v>
      </c>
      <c r="AK29" s="2">
        <f t="shared" si="6"/>
        <v>113.09999999999998</v>
      </c>
      <c r="AL29" s="2">
        <f t="shared" si="7"/>
        <v>110.45</v>
      </c>
      <c r="AM29" s="2">
        <f t="shared" si="8"/>
        <v>111.6</v>
      </c>
      <c r="AN29" s="2">
        <f t="shared" si="9"/>
        <v>109.35714285714288</v>
      </c>
    </row>
    <row r="30" spans="1:40" x14ac:dyDescent="0.3">
      <c r="A30" t="s">
        <v>32</v>
      </c>
      <c r="B30">
        <v>2013</v>
      </c>
      <c r="C30" t="s">
        <v>42</v>
      </c>
      <c r="D30" s="2">
        <v>118.9</v>
      </c>
      <c r="E30" s="2">
        <v>118.1</v>
      </c>
      <c r="F30" s="2">
        <v>114.5</v>
      </c>
      <c r="G30" s="2">
        <v>110.4</v>
      </c>
      <c r="H30" s="2">
        <v>102.3</v>
      </c>
      <c r="I30" s="2">
        <v>106.2</v>
      </c>
      <c r="J30" s="2">
        <v>183.5</v>
      </c>
      <c r="K30" s="2">
        <v>105.3</v>
      </c>
      <c r="L30" s="2">
        <v>100.2</v>
      </c>
      <c r="M30" s="2">
        <v>109.6</v>
      </c>
      <c r="N30" s="2">
        <v>111.4</v>
      </c>
      <c r="O30" s="2">
        <v>116</v>
      </c>
      <c r="P30" s="2">
        <v>120.8</v>
      </c>
      <c r="Q30" s="2">
        <v>113.5</v>
      </c>
      <c r="R30" s="2">
        <v>112.5</v>
      </c>
      <c r="S30" s="2">
        <v>109.7</v>
      </c>
      <c r="T30" s="2">
        <v>112</v>
      </c>
      <c r="U30" s="2">
        <v>110.5</v>
      </c>
      <c r="V30" s="2">
        <v>109.7</v>
      </c>
      <c r="W30" s="2">
        <v>110.2</v>
      </c>
      <c r="X30" s="2">
        <v>108.2</v>
      </c>
      <c r="Y30" s="2">
        <v>109.7</v>
      </c>
      <c r="Z30" s="2">
        <v>108</v>
      </c>
      <c r="AA30" s="2">
        <v>111.3</v>
      </c>
      <c r="AB30" s="2">
        <v>107.3</v>
      </c>
      <c r="AC30" s="2">
        <v>109.4</v>
      </c>
      <c r="AD30" s="2">
        <v>114</v>
      </c>
      <c r="AE30" s="2">
        <f t="shared" si="0"/>
        <v>1517.1999999999998</v>
      </c>
      <c r="AF30" s="2">
        <f t="shared" si="1"/>
        <v>334.2</v>
      </c>
      <c r="AG30" s="2">
        <f t="shared" si="2"/>
        <v>220.7</v>
      </c>
      <c r="AH30" s="2">
        <f t="shared" si="3"/>
        <v>109.7</v>
      </c>
      <c r="AI30" s="2">
        <f t="shared" si="4"/>
        <v>767.4</v>
      </c>
      <c r="AJ30" s="2">
        <f t="shared" si="5"/>
        <v>116.7076923076923</v>
      </c>
      <c r="AK30" s="2">
        <f t="shared" si="6"/>
        <v>111.39999999999999</v>
      </c>
      <c r="AL30" s="2">
        <f t="shared" si="7"/>
        <v>110.35</v>
      </c>
      <c r="AM30" s="2">
        <f t="shared" si="8"/>
        <v>109.7</v>
      </c>
      <c r="AN30" s="2">
        <f t="shared" si="9"/>
        <v>109.62857142857142</v>
      </c>
    </row>
    <row r="31" spans="1:40" x14ac:dyDescent="0.3">
      <c r="A31" t="s">
        <v>33</v>
      </c>
      <c r="B31">
        <v>2013</v>
      </c>
      <c r="C31" t="s">
        <v>42</v>
      </c>
      <c r="D31" s="2">
        <v>117.1</v>
      </c>
      <c r="E31" s="2">
        <v>116.3</v>
      </c>
      <c r="F31" s="2">
        <v>113.3</v>
      </c>
      <c r="G31" s="2">
        <v>111.2</v>
      </c>
      <c r="H31" s="2">
        <v>105.7</v>
      </c>
      <c r="I31" s="2">
        <v>109.9</v>
      </c>
      <c r="J31" s="2">
        <v>171.2</v>
      </c>
      <c r="K31" s="2">
        <v>107.3</v>
      </c>
      <c r="L31" s="2">
        <v>102.7</v>
      </c>
      <c r="M31" s="2">
        <v>108.7</v>
      </c>
      <c r="N31" s="2">
        <v>111.2</v>
      </c>
      <c r="O31" s="2">
        <v>115.4</v>
      </c>
      <c r="P31" s="2">
        <v>120.2</v>
      </c>
      <c r="Q31" s="2">
        <v>112.5</v>
      </c>
      <c r="R31" s="2">
        <v>113.2</v>
      </c>
      <c r="S31" s="2">
        <v>111.2</v>
      </c>
      <c r="T31" s="2">
        <v>112.8</v>
      </c>
      <c r="U31" s="2">
        <v>110.5</v>
      </c>
      <c r="V31" s="2">
        <v>110.9</v>
      </c>
      <c r="W31" s="2">
        <v>110.3</v>
      </c>
      <c r="X31" s="2">
        <v>108.6</v>
      </c>
      <c r="Y31" s="2">
        <v>109.5</v>
      </c>
      <c r="Z31" s="2">
        <v>108.1</v>
      </c>
      <c r="AA31" s="2">
        <v>110.8</v>
      </c>
      <c r="AB31" s="2">
        <v>107.4</v>
      </c>
      <c r="AC31" s="2">
        <v>109.2</v>
      </c>
      <c r="AD31" s="2">
        <v>114.8</v>
      </c>
      <c r="AE31" s="2">
        <f t="shared" si="0"/>
        <v>1510.2000000000003</v>
      </c>
      <c r="AF31" s="2">
        <f t="shared" si="1"/>
        <v>337.2</v>
      </c>
      <c r="AG31" s="2">
        <f t="shared" si="2"/>
        <v>220.8</v>
      </c>
      <c r="AH31" s="2">
        <f t="shared" si="3"/>
        <v>110.9</v>
      </c>
      <c r="AI31" s="2">
        <f t="shared" si="4"/>
        <v>766.1</v>
      </c>
      <c r="AJ31" s="2">
        <f t="shared" si="5"/>
        <v>116.16923076923079</v>
      </c>
      <c r="AK31" s="2">
        <f t="shared" si="6"/>
        <v>112.39999999999999</v>
      </c>
      <c r="AL31" s="2">
        <f t="shared" si="7"/>
        <v>110.4</v>
      </c>
      <c r="AM31" s="2">
        <f t="shared" si="8"/>
        <v>110.9</v>
      </c>
      <c r="AN31" s="2">
        <f t="shared" si="9"/>
        <v>109.44285714285715</v>
      </c>
    </row>
    <row r="32" spans="1:40" x14ac:dyDescent="0.3">
      <c r="A32" t="s">
        <v>30</v>
      </c>
      <c r="B32">
        <v>2013</v>
      </c>
      <c r="C32" t="s">
        <v>43</v>
      </c>
      <c r="D32" s="2">
        <v>117.3</v>
      </c>
      <c r="E32" s="2">
        <v>114.9</v>
      </c>
      <c r="F32" s="2">
        <v>116.2</v>
      </c>
      <c r="G32" s="2">
        <v>112.8</v>
      </c>
      <c r="H32" s="2">
        <v>108.9</v>
      </c>
      <c r="I32" s="2">
        <v>116.6</v>
      </c>
      <c r="J32" s="2">
        <v>178.1</v>
      </c>
      <c r="K32" s="2">
        <v>109.1</v>
      </c>
      <c r="L32" s="2">
        <v>103.6</v>
      </c>
      <c r="M32" s="2">
        <v>109</v>
      </c>
      <c r="N32" s="2">
        <v>111.8</v>
      </c>
      <c r="O32" s="2">
        <v>116</v>
      </c>
      <c r="P32" s="2">
        <v>122.5</v>
      </c>
      <c r="Q32" s="2">
        <v>112.8</v>
      </c>
      <c r="R32" s="2">
        <v>114.6</v>
      </c>
      <c r="S32" s="2">
        <v>113.1</v>
      </c>
      <c r="T32" s="2">
        <v>114.4</v>
      </c>
      <c r="U32" s="2">
        <f>AVERAGE(U33,U34)</f>
        <v>111.1</v>
      </c>
      <c r="V32" s="2">
        <v>112.6</v>
      </c>
      <c r="W32" s="2">
        <v>111.3</v>
      </c>
      <c r="X32" s="2">
        <v>109.7</v>
      </c>
      <c r="Y32" s="2">
        <v>109.6</v>
      </c>
      <c r="Z32" s="2">
        <v>108.7</v>
      </c>
      <c r="AA32" s="2">
        <v>111</v>
      </c>
      <c r="AB32" s="2">
        <v>108.2</v>
      </c>
      <c r="AC32" s="2">
        <v>109.8</v>
      </c>
      <c r="AD32" s="2">
        <v>117.4</v>
      </c>
      <c r="AE32" s="2">
        <f t="shared" si="0"/>
        <v>1536.8</v>
      </c>
      <c r="AF32" s="2">
        <f t="shared" si="1"/>
        <v>342.1</v>
      </c>
      <c r="AG32" s="2">
        <f t="shared" si="2"/>
        <v>222.39999999999998</v>
      </c>
      <c r="AH32" s="2">
        <f t="shared" si="3"/>
        <v>112.6</v>
      </c>
      <c r="AI32" s="2">
        <f t="shared" si="4"/>
        <v>769.8</v>
      </c>
      <c r="AJ32" s="2">
        <f t="shared" si="5"/>
        <v>118.21538461538461</v>
      </c>
      <c r="AK32" s="2">
        <f t="shared" si="6"/>
        <v>114.03333333333335</v>
      </c>
      <c r="AL32" s="2">
        <f t="shared" si="7"/>
        <v>111.19999999999999</v>
      </c>
      <c r="AM32" s="2">
        <f t="shared" si="8"/>
        <v>112.6</v>
      </c>
      <c r="AN32" s="2">
        <f t="shared" si="9"/>
        <v>109.97142857142856</v>
      </c>
    </row>
    <row r="33" spans="1:40" x14ac:dyDescent="0.3">
      <c r="A33" t="s">
        <v>32</v>
      </c>
      <c r="B33">
        <v>2013</v>
      </c>
      <c r="C33" t="s">
        <v>44</v>
      </c>
      <c r="D33" s="2">
        <v>119.8</v>
      </c>
      <c r="E33" s="2">
        <v>116.3</v>
      </c>
      <c r="F33" s="2">
        <v>122.6</v>
      </c>
      <c r="G33" s="2">
        <v>112</v>
      </c>
      <c r="H33" s="2">
        <v>103.2</v>
      </c>
      <c r="I33" s="2">
        <v>110</v>
      </c>
      <c r="J33" s="2">
        <v>192.8</v>
      </c>
      <c r="K33" s="2">
        <v>106.3</v>
      </c>
      <c r="L33" s="2">
        <v>99.5</v>
      </c>
      <c r="M33" s="2">
        <v>110.3</v>
      </c>
      <c r="N33" s="2">
        <v>111.8</v>
      </c>
      <c r="O33" s="2">
        <v>117.1</v>
      </c>
      <c r="P33" s="2">
        <v>122.9</v>
      </c>
      <c r="Q33" s="2">
        <v>114.1</v>
      </c>
      <c r="R33" s="2">
        <v>113.5</v>
      </c>
      <c r="S33" s="2">
        <v>110.3</v>
      </c>
      <c r="T33" s="2">
        <v>113</v>
      </c>
      <c r="U33" s="2">
        <v>111.1</v>
      </c>
      <c r="V33" s="2">
        <v>110</v>
      </c>
      <c r="W33" s="2">
        <v>110.9</v>
      </c>
      <c r="X33" s="2">
        <v>108.6</v>
      </c>
      <c r="Y33" s="2">
        <v>109.5</v>
      </c>
      <c r="Z33" s="2">
        <v>108.5</v>
      </c>
      <c r="AA33" s="2">
        <v>111.3</v>
      </c>
      <c r="AB33" s="2">
        <v>107.9</v>
      </c>
      <c r="AC33" s="2">
        <v>109.6</v>
      </c>
      <c r="AD33" s="2">
        <v>115</v>
      </c>
      <c r="AE33" s="2">
        <f t="shared" si="0"/>
        <v>1544.6</v>
      </c>
      <c r="AF33" s="2">
        <f t="shared" si="1"/>
        <v>336.8</v>
      </c>
      <c r="AG33" s="2">
        <f t="shared" si="2"/>
        <v>222</v>
      </c>
      <c r="AH33" s="2">
        <f t="shared" si="3"/>
        <v>110</v>
      </c>
      <c r="AI33" s="2">
        <f t="shared" si="4"/>
        <v>769.50000000000011</v>
      </c>
      <c r="AJ33" s="2">
        <f t="shared" si="5"/>
        <v>118.8153846153846</v>
      </c>
      <c r="AK33" s="2">
        <f t="shared" si="6"/>
        <v>112.26666666666667</v>
      </c>
      <c r="AL33" s="2">
        <f t="shared" si="7"/>
        <v>111</v>
      </c>
      <c r="AM33" s="2">
        <f t="shared" si="8"/>
        <v>110</v>
      </c>
      <c r="AN33" s="2">
        <f t="shared" si="9"/>
        <v>109.92857142857144</v>
      </c>
    </row>
    <row r="34" spans="1:40" x14ac:dyDescent="0.3">
      <c r="A34" t="s">
        <v>33</v>
      </c>
      <c r="B34">
        <v>2013</v>
      </c>
      <c r="C34" t="s">
        <v>44</v>
      </c>
      <c r="D34" s="2">
        <v>118.1</v>
      </c>
      <c r="E34" s="2">
        <v>115.4</v>
      </c>
      <c r="F34" s="2">
        <v>118.7</v>
      </c>
      <c r="G34" s="2">
        <v>112.5</v>
      </c>
      <c r="H34" s="2">
        <v>106.8</v>
      </c>
      <c r="I34" s="2">
        <v>113.5</v>
      </c>
      <c r="J34" s="2">
        <v>183.1</v>
      </c>
      <c r="K34" s="2">
        <v>108.2</v>
      </c>
      <c r="L34" s="2">
        <v>102.2</v>
      </c>
      <c r="M34" s="2">
        <v>109.4</v>
      </c>
      <c r="N34" s="2">
        <v>111.8</v>
      </c>
      <c r="O34" s="2">
        <v>116.5</v>
      </c>
      <c r="P34" s="2">
        <v>122.6</v>
      </c>
      <c r="Q34" s="2">
        <v>113.1</v>
      </c>
      <c r="R34" s="2">
        <v>114.2</v>
      </c>
      <c r="S34" s="2">
        <v>111.9</v>
      </c>
      <c r="T34" s="2">
        <v>113.8</v>
      </c>
      <c r="U34" s="2">
        <v>111.1</v>
      </c>
      <c r="V34" s="2">
        <v>111.6</v>
      </c>
      <c r="W34" s="2">
        <v>111.1</v>
      </c>
      <c r="X34" s="2">
        <v>109.3</v>
      </c>
      <c r="Y34" s="2">
        <v>109.5</v>
      </c>
      <c r="Z34" s="2">
        <v>108.6</v>
      </c>
      <c r="AA34" s="2">
        <v>111.2</v>
      </c>
      <c r="AB34" s="2">
        <v>108.1</v>
      </c>
      <c r="AC34" s="2">
        <v>109.7</v>
      </c>
      <c r="AD34" s="2">
        <v>116.3</v>
      </c>
      <c r="AE34" s="2">
        <f t="shared" si="0"/>
        <v>1538.8</v>
      </c>
      <c r="AF34" s="2">
        <f t="shared" si="1"/>
        <v>339.90000000000003</v>
      </c>
      <c r="AG34" s="2">
        <f t="shared" si="2"/>
        <v>222.2</v>
      </c>
      <c r="AH34" s="2">
        <f t="shared" si="3"/>
        <v>111.6</v>
      </c>
      <c r="AI34" s="2">
        <f t="shared" si="4"/>
        <v>769.5</v>
      </c>
      <c r="AJ34" s="2">
        <f t="shared" si="5"/>
        <v>118.36923076923077</v>
      </c>
      <c r="AK34" s="2">
        <f t="shared" si="6"/>
        <v>113.30000000000001</v>
      </c>
      <c r="AL34" s="2">
        <f t="shared" si="7"/>
        <v>111.1</v>
      </c>
      <c r="AM34" s="2">
        <f t="shared" si="8"/>
        <v>111.6</v>
      </c>
      <c r="AN34" s="2">
        <f t="shared" si="9"/>
        <v>109.92857142857143</v>
      </c>
    </row>
    <row r="35" spans="1:40" x14ac:dyDescent="0.3">
      <c r="A35" t="s">
        <v>30</v>
      </c>
      <c r="B35">
        <v>2013</v>
      </c>
      <c r="C35" t="s">
        <v>45</v>
      </c>
      <c r="D35" s="2">
        <v>118.4</v>
      </c>
      <c r="E35" s="2">
        <v>115.9</v>
      </c>
      <c r="F35" s="2">
        <v>120.4</v>
      </c>
      <c r="G35" s="2">
        <v>113.8</v>
      </c>
      <c r="H35" s="2">
        <v>109.5</v>
      </c>
      <c r="I35" s="2">
        <v>115.5</v>
      </c>
      <c r="J35" s="2">
        <v>145.69999999999999</v>
      </c>
      <c r="K35" s="2">
        <v>109.5</v>
      </c>
      <c r="L35" s="2">
        <v>102.9</v>
      </c>
      <c r="M35" s="2">
        <v>109.8</v>
      </c>
      <c r="N35" s="2">
        <v>112.1</v>
      </c>
      <c r="O35" s="2">
        <v>116.8</v>
      </c>
      <c r="P35" s="2">
        <v>118.7</v>
      </c>
      <c r="Q35" s="2">
        <v>113.6</v>
      </c>
      <c r="R35" s="2">
        <v>115.8</v>
      </c>
      <c r="S35" s="2">
        <v>114</v>
      </c>
      <c r="T35" s="2">
        <v>115.5</v>
      </c>
      <c r="U35" s="2">
        <f>AVERAGE(U36,U37)</f>
        <v>110.7</v>
      </c>
      <c r="V35" s="2">
        <v>112.8</v>
      </c>
      <c r="W35" s="2">
        <v>112.1</v>
      </c>
      <c r="X35" s="2">
        <v>110.1</v>
      </c>
      <c r="Y35" s="2">
        <v>109.9</v>
      </c>
      <c r="Z35" s="2">
        <v>109.2</v>
      </c>
      <c r="AA35" s="2">
        <v>111.6</v>
      </c>
      <c r="AB35" s="2">
        <v>108.1</v>
      </c>
      <c r="AC35" s="2">
        <v>110.1</v>
      </c>
      <c r="AD35" s="2">
        <v>115.5</v>
      </c>
      <c r="AE35" s="2">
        <f t="shared" si="0"/>
        <v>1509</v>
      </c>
      <c r="AF35" s="2">
        <f t="shared" si="1"/>
        <v>345.3</v>
      </c>
      <c r="AG35" s="2">
        <f t="shared" si="2"/>
        <v>222.8</v>
      </c>
      <c r="AH35" s="2">
        <f t="shared" si="3"/>
        <v>112.8</v>
      </c>
      <c r="AI35" s="2">
        <f t="shared" si="4"/>
        <v>772.6</v>
      </c>
      <c r="AJ35" s="2">
        <f t="shared" si="5"/>
        <v>116.07692307692308</v>
      </c>
      <c r="AK35" s="2">
        <f t="shared" si="6"/>
        <v>115.10000000000001</v>
      </c>
      <c r="AL35" s="2">
        <f t="shared" si="7"/>
        <v>111.4</v>
      </c>
      <c r="AM35" s="2">
        <f t="shared" si="8"/>
        <v>112.8</v>
      </c>
      <c r="AN35" s="2">
        <f t="shared" si="9"/>
        <v>110.37142857142858</v>
      </c>
    </row>
    <row r="36" spans="1:40" x14ac:dyDescent="0.3">
      <c r="A36" t="s">
        <v>32</v>
      </c>
      <c r="B36">
        <v>2013</v>
      </c>
      <c r="C36" t="s">
        <v>45</v>
      </c>
      <c r="D36" s="2">
        <v>120.5</v>
      </c>
      <c r="E36" s="2">
        <v>118.1</v>
      </c>
      <c r="F36" s="2">
        <v>128.5</v>
      </c>
      <c r="G36" s="2">
        <v>112.8</v>
      </c>
      <c r="H36" s="2">
        <v>103.4</v>
      </c>
      <c r="I36" s="2">
        <v>110.7</v>
      </c>
      <c r="J36" s="2">
        <v>144.80000000000001</v>
      </c>
      <c r="K36" s="2">
        <v>107.1</v>
      </c>
      <c r="L36" s="2">
        <v>98.6</v>
      </c>
      <c r="M36" s="2">
        <v>111.9</v>
      </c>
      <c r="N36" s="2">
        <v>112.1</v>
      </c>
      <c r="O36" s="2">
        <v>118.1</v>
      </c>
      <c r="P36" s="2">
        <v>117.8</v>
      </c>
      <c r="Q36" s="2">
        <v>115</v>
      </c>
      <c r="R36" s="2">
        <v>114.2</v>
      </c>
      <c r="S36" s="2">
        <v>110.9</v>
      </c>
      <c r="T36" s="2">
        <v>113.7</v>
      </c>
      <c r="U36" s="2">
        <v>110.7</v>
      </c>
      <c r="V36" s="2">
        <v>110.4</v>
      </c>
      <c r="W36" s="2">
        <v>111.3</v>
      </c>
      <c r="X36" s="2">
        <v>109</v>
      </c>
      <c r="Y36" s="2">
        <v>109.7</v>
      </c>
      <c r="Z36" s="2">
        <v>108.9</v>
      </c>
      <c r="AA36" s="2">
        <v>111.4</v>
      </c>
      <c r="AB36" s="2">
        <v>107.7</v>
      </c>
      <c r="AC36" s="2">
        <v>109.8</v>
      </c>
      <c r="AD36" s="2">
        <v>113.3</v>
      </c>
      <c r="AE36" s="2">
        <f t="shared" si="0"/>
        <v>1504.4</v>
      </c>
      <c r="AF36" s="2">
        <f t="shared" si="1"/>
        <v>338.8</v>
      </c>
      <c r="AG36" s="2">
        <f t="shared" si="2"/>
        <v>222</v>
      </c>
      <c r="AH36" s="2">
        <f t="shared" si="3"/>
        <v>110.4</v>
      </c>
      <c r="AI36" s="2">
        <f t="shared" si="4"/>
        <v>771.5</v>
      </c>
      <c r="AJ36" s="2">
        <f t="shared" si="5"/>
        <v>115.72307692307693</v>
      </c>
      <c r="AK36" s="2">
        <f t="shared" si="6"/>
        <v>112.93333333333334</v>
      </c>
      <c r="AL36" s="2">
        <f t="shared" si="7"/>
        <v>111</v>
      </c>
      <c r="AM36" s="2">
        <f t="shared" si="8"/>
        <v>110.4</v>
      </c>
      <c r="AN36" s="2">
        <f t="shared" si="9"/>
        <v>110.21428571428571</v>
      </c>
    </row>
    <row r="37" spans="1:40" x14ac:dyDescent="0.3">
      <c r="A37" t="s">
        <v>33</v>
      </c>
      <c r="B37">
        <v>2013</v>
      </c>
      <c r="C37" t="s">
        <v>45</v>
      </c>
      <c r="D37" s="2">
        <v>119.1</v>
      </c>
      <c r="E37" s="2">
        <v>116.7</v>
      </c>
      <c r="F37" s="2">
        <v>123.5</v>
      </c>
      <c r="G37" s="2">
        <v>113.4</v>
      </c>
      <c r="H37" s="2">
        <v>107.3</v>
      </c>
      <c r="I37" s="2">
        <v>113.3</v>
      </c>
      <c r="J37" s="2">
        <v>145.4</v>
      </c>
      <c r="K37" s="2">
        <v>108.7</v>
      </c>
      <c r="L37" s="2">
        <v>101.5</v>
      </c>
      <c r="M37" s="2">
        <v>110.5</v>
      </c>
      <c r="N37" s="2">
        <v>112.1</v>
      </c>
      <c r="O37" s="2">
        <v>117.4</v>
      </c>
      <c r="P37" s="2">
        <v>118.4</v>
      </c>
      <c r="Q37" s="2">
        <v>114</v>
      </c>
      <c r="R37" s="2">
        <v>115.2</v>
      </c>
      <c r="S37" s="2">
        <v>112.7</v>
      </c>
      <c r="T37" s="2">
        <v>114.8</v>
      </c>
      <c r="U37" s="2">
        <v>110.7</v>
      </c>
      <c r="V37" s="2">
        <v>111.9</v>
      </c>
      <c r="W37" s="2">
        <v>111.7</v>
      </c>
      <c r="X37" s="2">
        <v>109.7</v>
      </c>
      <c r="Y37" s="2">
        <v>109.8</v>
      </c>
      <c r="Z37" s="2">
        <v>109</v>
      </c>
      <c r="AA37" s="2">
        <v>111.5</v>
      </c>
      <c r="AB37" s="2">
        <v>107.9</v>
      </c>
      <c r="AC37" s="2">
        <v>110</v>
      </c>
      <c r="AD37" s="2">
        <v>114.5</v>
      </c>
      <c r="AE37" s="2">
        <f t="shared" si="0"/>
        <v>1507.3000000000002</v>
      </c>
      <c r="AF37" s="2">
        <f t="shared" si="1"/>
        <v>342.7</v>
      </c>
      <c r="AG37" s="2">
        <f t="shared" si="2"/>
        <v>222.4</v>
      </c>
      <c r="AH37" s="2">
        <f t="shared" si="3"/>
        <v>111.9</v>
      </c>
      <c r="AI37" s="2">
        <f t="shared" si="4"/>
        <v>771.9</v>
      </c>
      <c r="AJ37" s="2">
        <f t="shared" si="5"/>
        <v>115.94615384615386</v>
      </c>
      <c r="AK37" s="2">
        <f t="shared" si="6"/>
        <v>114.23333333333333</v>
      </c>
      <c r="AL37" s="2">
        <f t="shared" si="7"/>
        <v>111.2</v>
      </c>
      <c r="AM37" s="2">
        <f t="shared" si="8"/>
        <v>111.9</v>
      </c>
      <c r="AN37" s="2">
        <f t="shared" si="9"/>
        <v>110.27142857142857</v>
      </c>
    </row>
    <row r="38" spans="1:40" x14ac:dyDescent="0.3">
      <c r="A38" t="s">
        <v>30</v>
      </c>
      <c r="B38">
        <v>2014</v>
      </c>
      <c r="C38" t="s">
        <v>31</v>
      </c>
      <c r="D38" s="2">
        <v>118.9</v>
      </c>
      <c r="E38" s="2">
        <v>117.1</v>
      </c>
      <c r="F38" s="2">
        <v>120.5</v>
      </c>
      <c r="G38" s="2">
        <v>114.4</v>
      </c>
      <c r="H38" s="2">
        <v>109</v>
      </c>
      <c r="I38" s="2">
        <v>115.5</v>
      </c>
      <c r="J38" s="2">
        <v>123.9</v>
      </c>
      <c r="K38" s="2">
        <v>109.6</v>
      </c>
      <c r="L38" s="2">
        <v>101.8</v>
      </c>
      <c r="M38" s="2">
        <v>110.2</v>
      </c>
      <c r="N38" s="2">
        <v>112.4</v>
      </c>
      <c r="O38" s="2">
        <v>117.3</v>
      </c>
      <c r="P38" s="2">
        <v>116</v>
      </c>
      <c r="Q38" s="2">
        <v>114</v>
      </c>
      <c r="R38" s="2">
        <v>116.5</v>
      </c>
      <c r="S38" s="2">
        <v>114.5</v>
      </c>
      <c r="T38" s="2">
        <v>116.2</v>
      </c>
      <c r="U38" s="2">
        <f>AVERAGE(U39,U40)</f>
        <v>111.6</v>
      </c>
      <c r="V38" s="2">
        <v>113</v>
      </c>
      <c r="W38" s="2">
        <v>112.6</v>
      </c>
      <c r="X38" s="2">
        <v>110.6</v>
      </c>
      <c r="Y38" s="2">
        <v>110.5</v>
      </c>
      <c r="Z38" s="2">
        <v>109.6</v>
      </c>
      <c r="AA38" s="2">
        <v>111.8</v>
      </c>
      <c r="AB38" s="2">
        <v>108.3</v>
      </c>
      <c r="AC38" s="2">
        <v>110.6</v>
      </c>
      <c r="AD38" s="2">
        <v>114.2</v>
      </c>
      <c r="AE38" s="2">
        <f t="shared" si="0"/>
        <v>1486.6000000000001</v>
      </c>
      <c r="AF38" s="2">
        <f t="shared" si="1"/>
        <v>347.2</v>
      </c>
      <c r="AG38" s="2">
        <f t="shared" si="2"/>
        <v>224.2</v>
      </c>
      <c r="AH38" s="2">
        <f t="shared" si="3"/>
        <v>113</v>
      </c>
      <c r="AI38" s="2">
        <f t="shared" si="4"/>
        <v>775.4</v>
      </c>
      <c r="AJ38" s="2">
        <f t="shared" si="5"/>
        <v>114.35384615384616</v>
      </c>
      <c r="AK38" s="2">
        <f t="shared" si="6"/>
        <v>115.73333333333333</v>
      </c>
      <c r="AL38" s="2">
        <f t="shared" si="7"/>
        <v>112.1</v>
      </c>
      <c r="AM38" s="2">
        <f t="shared" si="8"/>
        <v>113</v>
      </c>
      <c r="AN38" s="2">
        <f t="shared" si="9"/>
        <v>110.77142857142857</v>
      </c>
    </row>
    <row r="39" spans="1:40" x14ac:dyDescent="0.3">
      <c r="A39" t="s">
        <v>32</v>
      </c>
      <c r="B39">
        <v>2014</v>
      </c>
      <c r="C39" t="s">
        <v>31</v>
      </c>
      <c r="D39" s="2">
        <v>121.2</v>
      </c>
      <c r="E39" s="2">
        <v>122</v>
      </c>
      <c r="F39" s="2">
        <v>129.9</v>
      </c>
      <c r="G39" s="2">
        <v>113.6</v>
      </c>
      <c r="H39" s="2">
        <v>102.9</v>
      </c>
      <c r="I39" s="2">
        <v>112.1</v>
      </c>
      <c r="J39" s="2">
        <v>118.9</v>
      </c>
      <c r="K39" s="2">
        <v>107.5</v>
      </c>
      <c r="L39" s="2">
        <v>96.9</v>
      </c>
      <c r="M39" s="2">
        <v>112.7</v>
      </c>
      <c r="N39" s="2">
        <v>112.1</v>
      </c>
      <c r="O39" s="2">
        <v>119</v>
      </c>
      <c r="P39" s="2">
        <v>115.5</v>
      </c>
      <c r="Q39" s="2">
        <v>115.7</v>
      </c>
      <c r="R39" s="2">
        <v>114.8</v>
      </c>
      <c r="S39" s="2">
        <v>111.3</v>
      </c>
      <c r="T39" s="2">
        <v>114.3</v>
      </c>
      <c r="U39" s="2">
        <v>111.6</v>
      </c>
      <c r="V39" s="2">
        <v>111</v>
      </c>
      <c r="W39" s="2">
        <v>111.9</v>
      </c>
      <c r="X39" s="2">
        <v>109.7</v>
      </c>
      <c r="Y39" s="2">
        <v>110.8</v>
      </c>
      <c r="Z39" s="2">
        <v>109.8</v>
      </c>
      <c r="AA39" s="2">
        <v>111.5</v>
      </c>
      <c r="AB39" s="2">
        <v>108</v>
      </c>
      <c r="AC39" s="2">
        <v>110.5</v>
      </c>
      <c r="AD39" s="2">
        <v>112.9</v>
      </c>
      <c r="AE39" s="2">
        <f t="shared" si="0"/>
        <v>1484.3</v>
      </c>
      <c r="AF39" s="2">
        <f t="shared" si="1"/>
        <v>340.4</v>
      </c>
      <c r="AG39" s="2">
        <f t="shared" si="2"/>
        <v>223.5</v>
      </c>
      <c r="AH39" s="2">
        <f t="shared" si="3"/>
        <v>111</v>
      </c>
      <c r="AI39" s="2">
        <f t="shared" si="4"/>
        <v>776</v>
      </c>
      <c r="AJ39" s="2">
        <f t="shared" si="5"/>
        <v>114.17692307692307</v>
      </c>
      <c r="AK39" s="2">
        <f t="shared" si="6"/>
        <v>113.46666666666665</v>
      </c>
      <c r="AL39" s="2">
        <f t="shared" si="7"/>
        <v>111.75</v>
      </c>
      <c r="AM39" s="2">
        <f t="shared" si="8"/>
        <v>111</v>
      </c>
      <c r="AN39" s="2">
        <f t="shared" si="9"/>
        <v>110.85714285714286</v>
      </c>
    </row>
    <row r="40" spans="1:40" x14ac:dyDescent="0.3">
      <c r="A40" t="s">
        <v>33</v>
      </c>
      <c r="B40">
        <v>2014</v>
      </c>
      <c r="C40" t="s">
        <v>31</v>
      </c>
      <c r="D40" s="2">
        <v>119.6</v>
      </c>
      <c r="E40" s="2">
        <v>118.8</v>
      </c>
      <c r="F40" s="2">
        <v>124.1</v>
      </c>
      <c r="G40" s="2">
        <v>114.1</v>
      </c>
      <c r="H40" s="2">
        <v>106.8</v>
      </c>
      <c r="I40" s="2">
        <v>113.9</v>
      </c>
      <c r="J40" s="2">
        <v>122.2</v>
      </c>
      <c r="K40" s="2">
        <v>108.9</v>
      </c>
      <c r="L40" s="2">
        <v>100.2</v>
      </c>
      <c r="M40" s="2">
        <v>111</v>
      </c>
      <c r="N40" s="2">
        <v>112.3</v>
      </c>
      <c r="O40" s="2">
        <v>118.1</v>
      </c>
      <c r="P40" s="2">
        <v>115.8</v>
      </c>
      <c r="Q40" s="2">
        <v>114.5</v>
      </c>
      <c r="R40" s="2">
        <v>115.8</v>
      </c>
      <c r="S40" s="2">
        <v>113.2</v>
      </c>
      <c r="T40" s="2">
        <v>115.4</v>
      </c>
      <c r="U40" s="2">
        <v>111.6</v>
      </c>
      <c r="V40" s="2">
        <v>112.2</v>
      </c>
      <c r="W40" s="2">
        <v>112.3</v>
      </c>
      <c r="X40" s="2">
        <v>110.3</v>
      </c>
      <c r="Y40" s="2">
        <v>110.7</v>
      </c>
      <c r="Z40" s="2">
        <v>109.7</v>
      </c>
      <c r="AA40" s="2">
        <v>111.6</v>
      </c>
      <c r="AB40" s="2">
        <v>108.2</v>
      </c>
      <c r="AC40" s="2">
        <v>110.6</v>
      </c>
      <c r="AD40" s="2">
        <v>113.6</v>
      </c>
      <c r="AE40" s="2">
        <f t="shared" si="0"/>
        <v>1485.7999999999997</v>
      </c>
      <c r="AF40" s="2">
        <f t="shared" si="1"/>
        <v>344.4</v>
      </c>
      <c r="AG40" s="2">
        <f t="shared" si="2"/>
        <v>223.89999999999998</v>
      </c>
      <c r="AH40" s="2">
        <f t="shared" si="3"/>
        <v>112.2</v>
      </c>
      <c r="AI40" s="2">
        <f t="shared" si="4"/>
        <v>775.6</v>
      </c>
      <c r="AJ40" s="2">
        <f t="shared" si="5"/>
        <v>114.29230769230767</v>
      </c>
      <c r="AK40" s="2">
        <f t="shared" si="6"/>
        <v>114.8</v>
      </c>
      <c r="AL40" s="2">
        <f t="shared" si="7"/>
        <v>111.94999999999999</v>
      </c>
      <c r="AM40" s="2">
        <f t="shared" si="8"/>
        <v>112.2</v>
      </c>
      <c r="AN40" s="2">
        <f t="shared" si="9"/>
        <v>110.8</v>
      </c>
    </row>
    <row r="41" spans="1:40" x14ac:dyDescent="0.3">
      <c r="A41" t="s">
        <v>30</v>
      </c>
      <c r="B41">
        <v>2014</v>
      </c>
      <c r="C41" t="s">
        <v>34</v>
      </c>
      <c r="D41" s="2">
        <v>119.4</v>
      </c>
      <c r="E41" s="2">
        <v>117.7</v>
      </c>
      <c r="F41" s="2">
        <v>121.2</v>
      </c>
      <c r="G41" s="2">
        <v>115</v>
      </c>
      <c r="H41" s="2">
        <v>109</v>
      </c>
      <c r="I41" s="2">
        <v>116.6</v>
      </c>
      <c r="J41" s="2">
        <v>116</v>
      </c>
      <c r="K41" s="2">
        <v>109.8</v>
      </c>
      <c r="L41" s="2">
        <v>101.1</v>
      </c>
      <c r="M41" s="2">
        <v>110.4</v>
      </c>
      <c r="N41" s="2">
        <v>112.9</v>
      </c>
      <c r="O41" s="2">
        <v>117.8</v>
      </c>
      <c r="P41" s="2">
        <v>115.3</v>
      </c>
      <c r="Q41" s="2">
        <v>114.2</v>
      </c>
      <c r="R41" s="2">
        <v>117.1</v>
      </c>
      <c r="S41" s="2">
        <v>114.5</v>
      </c>
      <c r="T41" s="2">
        <v>116.7</v>
      </c>
      <c r="U41" s="2">
        <f>AVERAGE(U42,U43)</f>
        <v>112.5</v>
      </c>
      <c r="V41" s="2">
        <v>113.2</v>
      </c>
      <c r="W41" s="2">
        <v>112.9</v>
      </c>
      <c r="X41" s="2">
        <v>110.9</v>
      </c>
      <c r="Y41" s="2">
        <v>110.8</v>
      </c>
      <c r="Z41" s="2">
        <v>109.9</v>
      </c>
      <c r="AA41" s="2">
        <v>112</v>
      </c>
      <c r="AB41" s="2">
        <v>108.7</v>
      </c>
      <c r="AC41" s="2">
        <v>110.9</v>
      </c>
      <c r="AD41" s="2">
        <v>114</v>
      </c>
      <c r="AE41" s="2">
        <f t="shared" si="0"/>
        <v>1482.2</v>
      </c>
      <c r="AF41" s="2">
        <f t="shared" si="1"/>
        <v>348.3</v>
      </c>
      <c r="AG41" s="2">
        <f t="shared" si="2"/>
        <v>225.4</v>
      </c>
      <c r="AH41" s="2">
        <f t="shared" si="3"/>
        <v>113.2</v>
      </c>
      <c r="AI41" s="2">
        <f t="shared" si="4"/>
        <v>777.40000000000009</v>
      </c>
      <c r="AJ41" s="2">
        <f t="shared" si="5"/>
        <v>114.01538461538462</v>
      </c>
      <c r="AK41" s="2">
        <f t="shared" si="6"/>
        <v>116.10000000000001</v>
      </c>
      <c r="AL41" s="2">
        <f t="shared" si="7"/>
        <v>112.7</v>
      </c>
      <c r="AM41" s="2">
        <f t="shared" si="8"/>
        <v>113.2</v>
      </c>
      <c r="AN41" s="2">
        <f t="shared" si="9"/>
        <v>111.05714285714286</v>
      </c>
    </row>
    <row r="42" spans="1:40" x14ac:dyDescent="0.3">
      <c r="A42" t="s">
        <v>32</v>
      </c>
      <c r="B42">
        <v>2014</v>
      </c>
      <c r="C42" t="s">
        <v>34</v>
      </c>
      <c r="D42" s="2">
        <v>121.9</v>
      </c>
      <c r="E42" s="2">
        <v>122</v>
      </c>
      <c r="F42" s="2">
        <v>124.5</v>
      </c>
      <c r="G42" s="2">
        <v>115.2</v>
      </c>
      <c r="H42" s="2">
        <v>102.5</v>
      </c>
      <c r="I42" s="2">
        <v>114.1</v>
      </c>
      <c r="J42" s="2">
        <v>111.5</v>
      </c>
      <c r="K42" s="2">
        <v>108.2</v>
      </c>
      <c r="L42" s="2">
        <v>95.4</v>
      </c>
      <c r="M42" s="2">
        <v>113.5</v>
      </c>
      <c r="N42" s="2">
        <v>112.1</v>
      </c>
      <c r="O42" s="2">
        <v>119.9</v>
      </c>
      <c r="P42" s="2">
        <v>115.2</v>
      </c>
      <c r="Q42" s="2">
        <v>116.2</v>
      </c>
      <c r="R42" s="2">
        <v>115.3</v>
      </c>
      <c r="S42" s="2">
        <v>111.7</v>
      </c>
      <c r="T42" s="2">
        <v>114.7</v>
      </c>
      <c r="U42" s="2">
        <v>112.5</v>
      </c>
      <c r="V42" s="2">
        <v>111.1</v>
      </c>
      <c r="W42" s="2">
        <v>112.6</v>
      </c>
      <c r="X42" s="2">
        <v>110.4</v>
      </c>
      <c r="Y42" s="2">
        <v>111.3</v>
      </c>
      <c r="Z42" s="2">
        <v>110.3</v>
      </c>
      <c r="AA42" s="2">
        <v>111.6</v>
      </c>
      <c r="AB42" s="2">
        <v>108.7</v>
      </c>
      <c r="AC42" s="2">
        <v>111</v>
      </c>
      <c r="AD42" s="2">
        <v>113.1</v>
      </c>
      <c r="AE42" s="2">
        <f t="shared" si="0"/>
        <v>1476</v>
      </c>
      <c r="AF42" s="2">
        <f t="shared" si="1"/>
        <v>341.7</v>
      </c>
      <c r="AG42" s="2">
        <f t="shared" si="2"/>
        <v>225.1</v>
      </c>
      <c r="AH42" s="2">
        <f t="shared" si="3"/>
        <v>111.1</v>
      </c>
      <c r="AI42" s="2">
        <f t="shared" si="4"/>
        <v>779.50000000000011</v>
      </c>
      <c r="AJ42" s="2">
        <f t="shared" si="5"/>
        <v>113.53846153846153</v>
      </c>
      <c r="AK42" s="2">
        <f t="shared" si="6"/>
        <v>113.89999999999999</v>
      </c>
      <c r="AL42" s="2">
        <f t="shared" si="7"/>
        <v>112.55</v>
      </c>
      <c r="AM42" s="2">
        <f t="shared" si="8"/>
        <v>111.1</v>
      </c>
      <c r="AN42" s="2">
        <f t="shared" si="9"/>
        <v>111.35714285714288</v>
      </c>
    </row>
    <row r="43" spans="1:40" x14ac:dyDescent="0.3">
      <c r="A43" t="s">
        <v>33</v>
      </c>
      <c r="B43">
        <v>2014</v>
      </c>
      <c r="C43" t="s">
        <v>34</v>
      </c>
      <c r="D43" s="2">
        <v>120.2</v>
      </c>
      <c r="E43" s="2">
        <v>119.2</v>
      </c>
      <c r="F43" s="2">
        <v>122.5</v>
      </c>
      <c r="G43" s="2">
        <v>115.1</v>
      </c>
      <c r="H43" s="2">
        <v>106.6</v>
      </c>
      <c r="I43" s="2">
        <v>115.4</v>
      </c>
      <c r="J43" s="2">
        <v>114.5</v>
      </c>
      <c r="K43" s="2">
        <v>109.3</v>
      </c>
      <c r="L43" s="2">
        <v>99.2</v>
      </c>
      <c r="M43" s="2">
        <v>111.4</v>
      </c>
      <c r="N43" s="2">
        <v>112.6</v>
      </c>
      <c r="O43" s="2">
        <v>118.8</v>
      </c>
      <c r="P43" s="2">
        <v>115.3</v>
      </c>
      <c r="Q43" s="2">
        <v>114.7</v>
      </c>
      <c r="R43" s="2">
        <v>116.4</v>
      </c>
      <c r="S43" s="2">
        <v>113.3</v>
      </c>
      <c r="T43" s="2">
        <v>115.9</v>
      </c>
      <c r="U43" s="2">
        <v>112.5</v>
      </c>
      <c r="V43" s="2">
        <v>112.4</v>
      </c>
      <c r="W43" s="2">
        <v>112.8</v>
      </c>
      <c r="X43" s="2">
        <v>110.7</v>
      </c>
      <c r="Y43" s="2">
        <v>111.1</v>
      </c>
      <c r="Z43" s="2">
        <v>110.1</v>
      </c>
      <c r="AA43" s="2">
        <v>111.8</v>
      </c>
      <c r="AB43" s="2">
        <v>108.7</v>
      </c>
      <c r="AC43" s="2">
        <v>110.9</v>
      </c>
      <c r="AD43" s="2">
        <v>113.6</v>
      </c>
      <c r="AE43" s="2">
        <f t="shared" si="0"/>
        <v>1480.1</v>
      </c>
      <c r="AF43" s="2">
        <f t="shared" si="1"/>
        <v>345.6</v>
      </c>
      <c r="AG43" s="2">
        <f t="shared" si="2"/>
        <v>225.3</v>
      </c>
      <c r="AH43" s="2">
        <f t="shared" si="3"/>
        <v>112.4</v>
      </c>
      <c r="AI43" s="2">
        <f t="shared" si="4"/>
        <v>778</v>
      </c>
      <c r="AJ43" s="2">
        <f t="shared" si="5"/>
        <v>113.85384615384615</v>
      </c>
      <c r="AK43" s="2">
        <f t="shared" si="6"/>
        <v>115.2</v>
      </c>
      <c r="AL43" s="2">
        <f t="shared" si="7"/>
        <v>112.65</v>
      </c>
      <c r="AM43" s="2">
        <f t="shared" si="8"/>
        <v>112.4</v>
      </c>
      <c r="AN43" s="2">
        <f t="shared" si="9"/>
        <v>111.14285714285714</v>
      </c>
    </row>
    <row r="44" spans="1:40" x14ac:dyDescent="0.3">
      <c r="A44" t="s">
        <v>30</v>
      </c>
      <c r="B44">
        <v>2014</v>
      </c>
      <c r="C44" t="s">
        <v>35</v>
      </c>
      <c r="D44" s="2">
        <v>120.1</v>
      </c>
      <c r="E44" s="2">
        <v>118.1</v>
      </c>
      <c r="F44" s="2">
        <v>120.7</v>
      </c>
      <c r="G44" s="2">
        <v>116.1</v>
      </c>
      <c r="H44" s="2">
        <v>109.3</v>
      </c>
      <c r="I44" s="2">
        <v>119.6</v>
      </c>
      <c r="J44" s="2">
        <v>117.9</v>
      </c>
      <c r="K44" s="2">
        <v>110.2</v>
      </c>
      <c r="L44" s="2">
        <v>101.2</v>
      </c>
      <c r="M44" s="2">
        <v>110.7</v>
      </c>
      <c r="N44" s="2">
        <v>113</v>
      </c>
      <c r="O44" s="2">
        <v>118.3</v>
      </c>
      <c r="P44" s="2">
        <v>116.2</v>
      </c>
      <c r="Q44" s="2">
        <v>114.6</v>
      </c>
      <c r="R44" s="2">
        <v>117.5</v>
      </c>
      <c r="S44" s="2">
        <v>114.9</v>
      </c>
      <c r="T44" s="2">
        <v>117.2</v>
      </c>
      <c r="U44" s="2">
        <f>AVERAGE(U45,U46)</f>
        <v>113.2</v>
      </c>
      <c r="V44" s="2">
        <v>113.4</v>
      </c>
      <c r="W44" s="2">
        <v>113.4</v>
      </c>
      <c r="X44" s="2">
        <v>111.4</v>
      </c>
      <c r="Y44" s="2">
        <v>111.2</v>
      </c>
      <c r="Z44" s="2">
        <v>110.2</v>
      </c>
      <c r="AA44" s="2">
        <v>112.4</v>
      </c>
      <c r="AB44" s="2">
        <v>108.9</v>
      </c>
      <c r="AC44" s="2">
        <v>111.3</v>
      </c>
      <c r="AD44" s="2">
        <v>114.6</v>
      </c>
      <c r="AE44" s="2">
        <f t="shared" si="0"/>
        <v>1491.4</v>
      </c>
      <c r="AF44" s="2">
        <f t="shared" si="1"/>
        <v>349.6</v>
      </c>
      <c r="AG44" s="2">
        <f t="shared" si="2"/>
        <v>226.60000000000002</v>
      </c>
      <c r="AH44" s="2">
        <f t="shared" si="3"/>
        <v>113.4</v>
      </c>
      <c r="AI44" s="2">
        <f t="shared" si="4"/>
        <v>780</v>
      </c>
      <c r="AJ44" s="2">
        <f t="shared" si="5"/>
        <v>114.72307692307693</v>
      </c>
      <c r="AK44" s="2">
        <f t="shared" si="6"/>
        <v>116.53333333333335</v>
      </c>
      <c r="AL44" s="2">
        <f t="shared" si="7"/>
        <v>113.30000000000001</v>
      </c>
      <c r="AM44" s="2">
        <f t="shared" si="8"/>
        <v>113.4</v>
      </c>
      <c r="AN44" s="2">
        <f t="shared" si="9"/>
        <v>111.42857142857143</v>
      </c>
    </row>
    <row r="45" spans="1:40" x14ac:dyDescent="0.3">
      <c r="A45" t="s">
        <v>32</v>
      </c>
      <c r="B45">
        <v>2014</v>
      </c>
      <c r="C45" t="s">
        <v>35</v>
      </c>
      <c r="D45" s="2">
        <v>122.1</v>
      </c>
      <c r="E45" s="2">
        <v>121.4</v>
      </c>
      <c r="F45" s="2">
        <v>121.5</v>
      </c>
      <c r="G45" s="2">
        <v>116.2</v>
      </c>
      <c r="H45" s="2">
        <v>102.8</v>
      </c>
      <c r="I45" s="2">
        <v>117.7</v>
      </c>
      <c r="J45" s="2">
        <v>113.3</v>
      </c>
      <c r="K45" s="2">
        <v>108.9</v>
      </c>
      <c r="L45" s="2">
        <v>96.3</v>
      </c>
      <c r="M45" s="2">
        <v>114.1</v>
      </c>
      <c r="N45" s="2">
        <v>112.2</v>
      </c>
      <c r="O45" s="2">
        <v>120.5</v>
      </c>
      <c r="P45" s="2">
        <v>116</v>
      </c>
      <c r="Q45" s="2">
        <v>116.7</v>
      </c>
      <c r="R45" s="2">
        <v>115.8</v>
      </c>
      <c r="S45" s="2">
        <v>112.1</v>
      </c>
      <c r="T45" s="2">
        <v>115.2</v>
      </c>
      <c r="U45" s="2">
        <v>113.2</v>
      </c>
      <c r="V45" s="2">
        <v>110.9</v>
      </c>
      <c r="W45" s="2">
        <v>113</v>
      </c>
      <c r="X45" s="2">
        <v>110.8</v>
      </c>
      <c r="Y45" s="2">
        <v>111.6</v>
      </c>
      <c r="Z45" s="2">
        <v>110.9</v>
      </c>
      <c r="AA45" s="2">
        <v>111.8</v>
      </c>
      <c r="AB45" s="2">
        <v>109.2</v>
      </c>
      <c r="AC45" s="2">
        <v>111.4</v>
      </c>
      <c r="AD45" s="2">
        <v>113.7</v>
      </c>
      <c r="AE45" s="2">
        <f t="shared" si="0"/>
        <v>1483</v>
      </c>
      <c r="AF45" s="2">
        <f t="shared" si="1"/>
        <v>343.09999999999997</v>
      </c>
      <c r="AG45" s="2">
        <f t="shared" si="2"/>
        <v>226.2</v>
      </c>
      <c r="AH45" s="2">
        <f t="shared" si="3"/>
        <v>110.9</v>
      </c>
      <c r="AI45" s="2">
        <f t="shared" si="4"/>
        <v>782.4</v>
      </c>
      <c r="AJ45" s="2">
        <f t="shared" si="5"/>
        <v>114.07692307692308</v>
      </c>
      <c r="AK45" s="2">
        <f t="shared" si="6"/>
        <v>114.36666666666666</v>
      </c>
      <c r="AL45" s="2">
        <f t="shared" si="7"/>
        <v>113.1</v>
      </c>
      <c r="AM45" s="2">
        <f t="shared" si="8"/>
        <v>110.9</v>
      </c>
      <c r="AN45" s="2">
        <f t="shared" si="9"/>
        <v>111.77142857142857</v>
      </c>
    </row>
    <row r="46" spans="1:40" x14ac:dyDescent="0.3">
      <c r="A46" t="s">
        <v>33</v>
      </c>
      <c r="B46">
        <v>2014</v>
      </c>
      <c r="C46" t="s">
        <v>46</v>
      </c>
      <c r="D46" s="2">
        <v>120.7</v>
      </c>
      <c r="E46" s="2">
        <v>119.3</v>
      </c>
      <c r="F46" s="2">
        <v>121</v>
      </c>
      <c r="G46" s="2">
        <v>116.1</v>
      </c>
      <c r="H46" s="2">
        <v>106.9</v>
      </c>
      <c r="I46" s="2">
        <v>118.7</v>
      </c>
      <c r="J46" s="2">
        <v>116.3</v>
      </c>
      <c r="K46" s="2">
        <v>109.8</v>
      </c>
      <c r="L46" s="2">
        <v>99.6</v>
      </c>
      <c r="M46" s="2">
        <v>111.8</v>
      </c>
      <c r="N46" s="2">
        <v>112.7</v>
      </c>
      <c r="O46" s="2">
        <v>119.3</v>
      </c>
      <c r="P46" s="2">
        <v>116.1</v>
      </c>
      <c r="Q46" s="2">
        <v>115.2</v>
      </c>
      <c r="R46" s="2">
        <v>116.8</v>
      </c>
      <c r="S46" s="2">
        <v>113.7</v>
      </c>
      <c r="T46" s="2">
        <v>116.4</v>
      </c>
      <c r="U46" s="2">
        <v>113.2</v>
      </c>
      <c r="V46" s="2">
        <v>112.5</v>
      </c>
      <c r="W46" s="2">
        <v>113.2</v>
      </c>
      <c r="X46" s="2">
        <v>111.2</v>
      </c>
      <c r="Y46" s="2">
        <v>111.4</v>
      </c>
      <c r="Z46" s="2">
        <v>110.6</v>
      </c>
      <c r="AA46" s="2">
        <v>112</v>
      </c>
      <c r="AB46" s="2">
        <v>109</v>
      </c>
      <c r="AC46" s="2">
        <v>111.3</v>
      </c>
      <c r="AD46" s="2">
        <v>114.2</v>
      </c>
      <c r="AE46" s="2">
        <f t="shared" si="0"/>
        <v>1488.2999999999997</v>
      </c>
      <c r="AF46" s="2">
        <f t="shared" si="1"/>
        <v>346.9</v>
      </c>
      <c r="AG46" s="2">
        <f t="shared" si="2"/>
        <v>226.4</v>
      </c>
      <c r="AH46" s="2">
        <f t="shared" si="3"/>
        <v>112.5</v>
      </c>
      <c r="AI46" s="2">
        <f t="shared" si="4"/>
        <v>780.7</v>
      </c>
      <c r="AJ46" s="2">
        <f t="shared" si="5"/>
        <v>114.48461538461537</v>
      </c>
      <c r="AK46" s="2">
        <f t="shared" si="6"/>
        <v>115.63333333333333</v>
      </c>
      <c r="AL46" s="2">
        <f t="shared" si="7"/>
        <v>113.2</v>
      </c>
      <c r="AM46" s="2">
        <f t="shared" si="8"/>
        <v>112.5</v>
      </c>
      <c r="AN46" s="2">
        <f t="shared" si="9"/>
        <v>111.52857142857144</v>
      </c>
    </row>
    <row r="47" spans="1:40" x14ac:dyDescent="0.3">
      <c r="A47" t="s">
        <v>30</v>
      </c>
      <c r="B47">
        <v>2014</v>
      </c>
      <c r="C47" t="s">
        <v>36</v>
      </c>
      <c r="D47" s="2">
        <v>120.2</v>
      </c>
      <c r="E47" s="2">
        <v>118.9</v>
      </c>
      <c r="F47" s="2">
        <v>118.1</v>
      </c>
      <c r="G47" s="2">
        <v>117</v>
      </c>
      <c r="H47" s="2">
        <v>109.7</v>
      </c>
      <c r="I47" s="2">
        <v>125.5</v>
      </c>
      <c r="J47" s="2">
        <v>120.5</v>
      </c>
      <c r="K47" s="2">
        <v>111</v>
      </c>
      <c r="L47" s="2">
        <v>102.6</v>
      </c>
      <c r="M47" s="2">
        <v>111.2</v>
      </c>
      <c r="N47" s="2">
        <v>113.5</v>
      </c>
      <c r="O47" s="2">
        <v>118.7</v>
      </c>
      <c r="P47" s="2">
        <v>117.2</v>
      </c>
      <c r="Q47" s="2">
        <v>115.4</v>
      </c>
      <c r="R47" s="2">
        <v>118.1</v>
      </c>
      <c r="S47" s="2">
        <v>116.1</v>
      </c>
      <c r="T47" s="2">
        <v>117.8</v>
      </c>
      <c r="U47" s="2">
        <f>AVERAGE(U48,U49)</f>
        <v>113.9</v>
      </c>
      <c r="V47" s="2">
        <v>113.4</v>
      </c>
      <c r="W47" s="2">
        <v>113.7</v>
      </c>
      <c r="X47" s="2">
        <v>111.8</v>
      </c>
      <c r="Y47" s="2">
        <v>111.2</v>
      </c>
      <c r="Z47" s="2">
        <v>110.5</v>
      </c>
      <c r="AA47" s="2">
        <v>113</v>
      </c>
      <c r="AB47" s="2">
        <v>108.9</v>
      </c>
      <c r="AC47" s="2">
        <v>111.5</v>
      </c>
      <c r="AD47" s="2">
        <v>115.4</v>
      </c>
      <c r="AE47" s="2">
        <f t="shared" si="0"/>
        <v>1504.1000000000001</v>
      </c>
      <c r="AF47" s="2">
        <f t="shared" si="1"/>
        <v>352</v>
      </c>
      <c r="AG47" s="2">
        <f t="shared" si="2"/>
        <v>227.60000000000002</v>
      </c>
      <c r="AH47" s="2">
        <f t="shared" si="3"/>
        <v>113.4</v>
      </c>
      <c r="AI47" s="2">
        <f t="shared" si="4"/>
        <v>782.3</v>
      </c>
      <c r="AJ47" s="2">
        <f t="shared" si="5"/>
        <v>115.70000000000002</v>
      </c>
      <c r="AK47" s="2">
        <f t="shared" si="6"/>
        <v>117.33333333333333</v>
      </c>
      <c r="AL47" s="2">
        <f t="shared" si="7"/>
        <v>113.80000000000001</v>
      </c>
      <c r="AM47" s="2">
        <f t="shared" si="8"/>
        <v>113.4</v>
      </c>
      <c r="AN47" s="2">
        <f t="shared" si="9"/>
        <v>111.75714285714285</v>
      </c>
    </row>
    <row r="48" spans="1:40" x14ac:dyDescent="0.3">
      <c r="A48" t="s">
        <v>32</v>
      </c>
      <c r="B48">
        <v>2014</v>
      </c>
      <c r="C48" t="s">
        <v>36</v>
      </c>
      <c r="D48" s="2">
        <v>122.5</v>
      </c>
      <c r="E48" s="2">
        <v>121.7</v>
      </c>
      <c r="F48" s="2">
        <v>113.3</v>
      </c>
      <c r="G48" s="2">
        <v>117</v>
      </c>
      <c r="H48" s="2">
        <v>103.1</v>
      </c>
      <c r="I48" s="2">
        <v>126.7</v>
      </c>
      <c r="J48" s="2">
        <v>121.2</v>
      </c>
      <c r="K48" s="2">
        <v>111</v>
      </c>
      <c r="L48" s="2">
        <v>100.3</v>
      </c>
      <c r="M48" s="2">
        <v>115.3</v>
      </c>
      <c r="N48" s="2">
        <v>112.7</v>
      </c>
      <c r="O48" s="2">
        <v>121</v>
      </c>
      <c r="P48" s="2">
        <v>118.2</v>
      </c>
      <c r="Q48" s="2">
        <v>117.6</v>
      </c>
      <c r="R48" s="2">
        <v>116.3</v>
      </c>
      <c r="S48" s="2">
        <v>112.5</v>
      </c>
      <c r="T48" s="2">
        <v>115.7</v>
      </c>
      <c r="U48" s="2">
        <v>113.9</v>
      </c>
      <c r="V48" s="2">
        <v>110.9</v>
      </c>
      <c r="W48" s="2">
        <v>113.4</v>
      </c>
      <c r="X48" s="2">
        <v>111</v>
      </c>
      <c r="Y48" s="2">
        <v>111.2</v>
      </c>
      <c r="Z48" s="2">
        <v>111.2</v>
      </c>
      <c r="AA48" s="2">
        <v>112.5</v>
      </c>
      <c r="AB48" s="2">
        <v>109.1</v>
      </c>
      <c r="AC48" s="2">
        <v>111.4</v>
      </c>
      <c r="AD48" s="2">
        <v>114.7</v>
      </c>
      <c r="AE48" s="2">
        <f t="shared" si="0"/>
        <v>1504.0000000000002</v>
      </c>
      <c r="AF48" s="2">
        <f t="shared" si="1"/>
        <v>344.5</v>
      </c>
      <c r="AG48" s="2">
        <f t="shared" si="2"/>
        <v>227.3</v>
      </c>
      <c r="AH48" s="2">
        <f t="shared" si="3"/>
        <v>110.9</v>
      </c>
      <c r="AI48" s="2">
        <f t="shared" si="4"/>
        <v>784</v>
      </c>
      <c r="AJ48" s="2">
        <f t="shared" si="5"/>
        <v>115.69230769230771</v>
      </c>
      <c r="AK48" s="2">
        <f t="shared" si="6"/>
        <v>114.83333333333333</v>
      </c>
      <c r="AL48" s="2">
        <f t="shared" si="7"/>
        <v>113.65</v>
      </c>
      <c r="AM48" s="2">
        <f t="shared" si="8"/>
        <v>110.9</v>
      </c>
      <c r="AN48" s="2">
        <f t="shared" si="9"/>
        <v>112</v>
      </c>
    </row>
    <row r="49" spans="1:40" x14ac:dyDescent="0.3">
      <c r="A49" t="s">
        <v>33</v>
      </c>
      <c r="B49">
        <v>2014</v>
      </c>
      <c r="C49" t="s">
        <v>36</v>
      </c>
      <c r="D49" s="2">
        <v>120.9</v>
      </c>
      <c r="E49" s="2">
        <v>119.9</v>
      </c>
      <c r="F49" s="2">
        <v>116.2</v>
      </c>
      <c r="G49" s="2">
        <v>117</v>
      </c>
      <c r="H49" s="2">
        <v>107.3</v>
      </c>
      <c r="I49" s="2">
        <v>126.1</v>
      </c>
      <c r="J49" s="2">
        <v>120.7</v>
      </c>
      <c r="K49" s="2">
        <v>111</v>
      </c>
      <c r="L49" s="2">
        <v>101.8</v>
      </c>
      <c r="M49" s="2">
        <v>112.6</v>
      </c>
      <c r="N49" s="2">
        <v>113.2</v>
      </c>
      <c r="O49" s="2">
        <v>119.8</v>
      </c>
      <c r="P49" s="2">
        <v>117.6</v>
      </c>
      <c r="Q49" s="2">
        <v>116</v>
      </c>
      <c r="R49" s="2">
        <v>117.4</v>
      </c>
      <c r="S49" s="2">
        <v>114.6</v>
      </c>
      <c r="T49" s="2">
        <v>117</v>
      </c>
      <c r="U49" s="2">
        <v>113.9</v>
      </c>
      <c r="V49" s="2">
        <v>112.5</v>
      </c>
      <c r="W49" s="2">
        <v>113.6</v>
      </c>
      <c r="X49" s="2">
        <v>111.5</v>
      </c>
      <c r="Y49" s="2">
        <v>111.2</v>
      </c>
      <c r="Z49" s="2">
        <v>110.9</v>
      </c>
      <c r="AA49" s="2">
        <v>112.7</v>
      </c>
      <c r="AB49" s="2">
        <v>109</v>
      </c>
      <c r="AC49" s="2">
        <v>111.5</v>
      </c>
      <c r="AD49" s="2">
        <v>115.1</v>
      </c>
      <c r="AE49" s="2">
        <f t="shared" si="0"/>
        <v>1504.1</v>
      </c>
      <c r="AF49" s="2">
        <f t="shared" si="1"/>
        <v>349</v>
      </c>
      <c r="AG49" s="2">
        <f t="shared" si="2"/>
        <v>227.5</v>
      </c>
      <c r="AH49" s="2">
        <f t="shared" si="3"/>
        <v>112.5</v>
      </c>
      <c r="AI49" s="2">
        <f t="shared" si="4"/>
        <v>782.8</v>
      </c>
      <c r="AJ49" s="2">
        <f t="shared" si="5"/>
        <v>115.69999999999999</v>
      </c>
      <c r="AK49" s="2">
        <f t="shared" si="6"/>
        <v>116.33333333333333</v>
      </c>
      <c r="AL49" s="2">
        <f t="shared" si="7"/>
        <v>113.75</v>
      </c>
      <c r="AM49" s="2">
        <f t="shared" si="8"/>
        <v>112.5</v>
      </c>
      <c r="AN49" s="2">
        <f t="shared" si="9"/>
        <v>111.82857142857142</v>
      </c>
    </row>
    <row r="50" spans="1:40" x14ac:dyDescent="0.3">
      <c r="A50" t="s">
        <v>30</v>
      </c>
      <c r="B50">
        <v>2014</v>
      </c>
      <c r="C50" t="s">
        <v>37</v>
      </c>
      <c r="D50" s="2">
        <v>120.3</v>
      </c>
      <c r="E50" s="2">
        <v>120.2</v>
      </c>
      <c r="F50" s="2">
        <v>116.9</v>
      </c>
      <c r="G50" s="2">
        <v>118</v>
      </c>
      <c r="H50" s="2">
        <v>110.1</v>
      </c>
      <c r="I50" s="2">
        <v>126.3</v>
      </c>
      <c r="J50" s="2">
        <v>123.9</v>
      </c>
      <c r="K50" s="2">
        <v>111.5</v>
      </c>
      <c r="L50" s="2">
        <v>103.5</v>
      </c>
      <c r="M50" s="2">
        <v>111.6</v>
      </c>
      <c r="N50" s="2">
        <v>114.2</v>
      </c>
      <c r="O50" s="2">
        <v>119.2</v>
      </c>
      <c r="P50" s="2">
        <v>118.2</v>
      </c>
      <c r="Q50" s="2">
        <v>116.3</v>
      </c>
      <c r="R50" s="2">
        <v>118.7</v>
      </c>
      <c r="S50" s="2">
        <v>116.8</v>
      </c>
      <c r="T50" s="2">
        <v>118.5</v>
      </c>
      <c r="U50" s="2">
        <f>AVERAGE(U51,U52)</f>
        <v>114.3</v>
      </c>
      <c r="V50" s="2">
        <v>113.4</v>
      </c>
      <c r="W50" s="2">
        <v>114.1</v>
      </c>
      <c r="X50" s="2">
        <v>112.1</v>
      </c>
      <c r="Y50" s="2">
        <v>111.4</v>
      </c>
      <c r="Z50" s="2">
        <v>110.9</v>
      </c>
      <c r="AA50" s="2">
        <v>113.1</v>
      </c>
      <c r="AB50" s="2">
        <v>108.9</v>
      </c>
      <c r="AC50" s="2">
        <v>111.8</v>
      </c>
      <c r="AD50" s="2">
        <v>116</v>
      </c>
      <c r="AE50" s="2">
        <f t="shared" si="0"/>
        <v>1513.8999999999999</v>
      </c>
      <c r="AF50" s="2">
        <f t="shared" si="1"/>
        <v>354</v>
      </c>
      <c r="AG50" s="2">
        <f t="shared" si="2"/>
        <v>228.39999999999998</v>
      </c>
      <c r="AH50" s="2">
        <f t="shared" si="3"/>
        <v>113.4</v>
      </c>
      <c r="AI50" s="2">
        <f t="shared" si="4"/>
        <v>784.49999999999989</v>
      </c>
      <c r="AJ50" s="2">
        <f t="shared" si="5"/>
        <v>116.45384615384614</v>
      </c>
      <c r="AK50" s="2">
        <f t="shared" si="6"/>
        <v>118</v>
      </c>
      <c r="AL50" s="2">
        <f t="shared" si="7"/>
        <v>114.19999999999999</v>
      </c>
      <c r="AM50" s="2">
        <f t="shared" si="8"/>
        <v>113.4</v>
      </c>
      <c r="AN50" s="2">
        <f t="shared" si="9"/>
        <v>112.07142857142856</v>
      </c>
    </row>
    <row r="51" spans="1:40" x14ac:dyDescent="0.3">
      <c r="A51" t="s">
        <v>32</v>
      </c>
      <c r="B51">
        <v>2014</v>
      </c>
      <c r="C51" t="s">
        <v>37</v>
      </c>
      <c r="D51" s="2">
        <v>122.7</v>
      </c>
      <c r="E51" s="2">
        <v>124.1</v>
      </c>
      <c r="F51" s="2">
        <v>114.2</v>
      </c>
      <c r="G51" s="2">
        <v>119.1</v>
      </c>
      <c r="H51" s="2">
        <v>103.5</v>
      </c>
      <c r="I51" s="2">
        <v>129.19999999999999</v>
      </c>
      <c r="J51" s="2">
        <v>127</v>
      </c>
      <c r="K51" s="2">
        <v>112.6</v>
      </c>
      <c r="L51" s="2">
        <v>101.3</v>
      </c>
      <c r="M51" s="2">
        <v>117</v>
      </c>
      <c r="N51" s="2">
        <v>112.9</v>
      </c>
      <c r="O51" s="2">
        <v>121.7</v>
      </c>
      <c r="P51" s="2">
        <v>120</v>
      </c>
      <c r="Q51" s="2">
        <v>118.3</v>
      </c>
      <c r="R51" s="2">
        <v>116.8</v>
      </c>
      <c r="S51" s="2">
        <v>112.9</v>
      </c>
      <c r="T51" s="2">
        <v>116.2</v>
      </c>
      <c r="U51" s="2">
        <v>114.3</v>
      </c>
      <c r="V51" s="2">
        <v>111.1</v>
      </c>
      <c r="W51" s="2">
        <v>114.1</v>
      </c>
      <c r="X51" s="2">
        <v>111.2</v>
      </c>
      <c r="Y51" s="2">
        <v>111.3</v>
      </c>
      <c r="Z51" s="2">
        <v>111.5</v>
      </c>
      <c r="AA51" s="2">
        <v>112.9</v>
      </c>
      <c r="AB51" s="2">
        <v>109.3</v>
      </c>
      <c r="AC51" s="2">
        <v>111.7</v>
      </c>
      <c r="AD51" s="2">
        <v>115.6</v>
      </c>
      <c r="AE51" s="2">
        <f t="shared" si="0"/>
        <v>1525.3000000000002</v>
      </c>
      <c r="AF51" s="2">
        <f t="shared" si="1"/>
        <v>345.9</v>
      </c>
      <c r="AG51" s="2">
        <f t="shared" si="2"/>
        <v>228.39999999999998</v>
      </c>
      <c r="AH51" s="2">
        <f t="shared" si="3"/>
        <v>111.1</v>
      </c>
      <c r="AI51" s="2">
        <f t="shared" si="4"/>
        <v>786.19999999999993</v>
      </c>
      <c r="AJ51" s="2">
        <f t="shared" si="5"/>
        <v>117.33076923076925</v>
      </c>
      <c r="AK51" s="2">
        <f t="shared" si="6"/>
        <v>115.3</v>
      </c>
      <c r="AL51" s="2">
        <f t="shared" si="7"/>
        <v>114.19999999999999</v>
      </c>
      <c r="AM51" s="2">
        <f t="shared" si="8"/>
        <v>111.1</v>
      </c>
      <c r="AN51" s="2">
        <f t="shared" si="9"/>
        <v>112.3142857142857</v>
      </c>
    </row>
    <row r="52" spans="1:40" x14ac:dyDescent="0.3">
      <c r="A52" t="s">
        <v>33</v>
      </c>
      <c r="B52">
        <v>2014</v>
      </c>
      <c r="C52" t="s">
        <v>37</v>
      </c>
      <c r="D52" s="2">
        <v>121.1</v>
      </c>
      <c r="E52" s="2">
        <v>121.6</v>
      </c>
      <c r="F52" s="2">
        <v>115.9</v>
      </c>
      <c r="G52" s="2">
        <v>118.4</v>
      </c>
      <c r="H52" s="2">
        <v>107.7</v>
      </c>
      <c r="I52" s="2">
        <v>127.7</v>
      </c>
      <c r="J52" s="2">
        <v>125</v>
      </c>
      <c r="K52" s="2">
        <v>111.9</v>
      </c>
      <c r="L52" s="2">
        <v>102.8</v>
      </c>
      <c r="M52" s="2">
        <v>113.4</v>
      </c>
      <c r="N52" s="2">
        <v>113.7</v>
      </c>
      <c r="O52" s="2">
        <v>120.4</v>
      </c>
      <c r="P52" s="2">
        <v>118.9</v>
      </c>
      <c r="Q52" s="2">
        <v>116.8</v>
      </c>
      <c r="R52" s="2">
        <v>118</v>
      </c>
      <c r="S52" s="2">
        <v>115.2</v>
      </c>
      <c r="T52" s="2">
        <v>117.6</v>
      </c>
      <c r="U52" s="2">
        <v>114.3</v>
      </c>
      <c r="V52" s="2">
        <v>112.5</v>
      </c>
      <c r="W52" s="2">
        <v>114.1</v>
      </c>
      <c r="X52" s="2">
        <v>111.8</v>
      </c>
      <c r="Y52" s="2">
        <v>111.3</v>
      </c>
      <c r="Z52" s="2">
        <v>111.2</v>
      </c>
      <c r="AA52" s="2">
        <v>113</v>
      </c>
      <c r="AB52" s="2">
        <v>109.1</v>
      </c>
      <c r="AC52" s="2">
        <v>111.8</v>
      </c>
      <c r="AD52" s="2">
        <v>115.8</v>
      </c>
      <c r="AE52" s="2">
        <f t="shared" si="0"/>
        <v>1518.5000000000005</v>
      </c>
      <c r="AF52" s="2">
        <f t="shared" si="1"/>
        <v>350.79999999999995</v>
      </c>
      <c r="AG52" s="2">
        <f t="shared" si="2"/>
        <v>228.39999999999998</v>
      </c>
      <c r="AH52" s="2">
        <f t="shared" si="3"/>
        <v>112.5</v>
      </c>
      <c r="AI52" s="2">
        <f t="shared" si="4"/>
        <v>784.99999999999989</v>
      </c>
      <c r="AJ52" s="2">
        <f t="shared" si="5"/>
        <v>116.80769230769235</v>
      </c>
      <c r="AK52" s="2">
        <f t="shared" si="6"/>
        <v>116.93333333333332</v>
      </c>
      <c r="AL52" s="2">
        <f t="shared" si="7"/>
        <v>114.19999999999999</v>
      </c>
      <c r="AM52" s="2">
        <f t="shared" si="8"/>
        <v>112.5</v>
      </c>
      <c r="AN52" s="2">
        <f t="shared" si="9"/>
        <v>112.14285714285712</v>
      </c>
    </row>
    <row r="53" spans="1:40" x14ac:dyDescent="0.3">
      <c r="A53" t="s">
        <v>30</v>
      </c>
      <c r="B53">
        <v>2014</v>
      </c>
      <c r="C53" t="s">
        <v>38</v>
      </c>
      <c r="D53" s="2">
        <v>120.7</v>
      </c>
      <c r="E53" s="2">
        <v>121.6</v>
      </c>
      <c r="F53" s="2">
        <v>116.1</v>
      </c>
      <c r="G53" s="2">
        <v>119.3</v>
      </c>
      <c r="H53" s="2">
        <v>110.3</v>
      </c>
      <c r="I53" s="2">
        <v>125.8</v>
      </c>
      <c r="J53" s="2">
        <v>129.30000000000001</v>
      </c>
      <c r="K53" s="2">
        <v>112.2</v>
      </c>
      <c r="L53" s="2">
        <v>103.6</v>
      </c>
      <c r="M53" s="2">
        <v>112.3</v>
      </c>
      <c r="N53" s="2">
        <v>114.9</v>
      </c>
      <c r="O53" s="2">
        <v>120.1</v>
      </c>
      <c r="P53" s="2">
        <v>119.5</v>
      </c>
      <c r="Q53" s="2">
        <v>117.3</v>
      </c>
      <c r="R53" s="2">
        <v>119.7</v>
      </c>
      <c r="S53" s="2">
        <v>117.3</v>
      </c>
      <c r="T53" s="2">
        <v>119.3</v>
      </c>
      <c r="U53" s="2">
        <f>AVERAGE(U54,U55)</f>
        <v>113.9</v>
      </c>
      <c r="V53" s="2">
        <v>114.4</v>
      </c>
      <c r="W53" s="2">
        <v>114.9</v>
      </c>
      <c r="X53" s="2">
        <v>112.8</v>
      </c>
      <c r="Y53" s="2">
        <v>112.2</v>
      </c>
      <c r="Z53" s="2">
        <v>111.4</v>
      </c>
      <c r="AA53" s="2">
        <v>114.3</v>
      </c>
      <c r="AB53" s="2">
        <v>108</v>
      </c>
      <c r="AC53" s="2">
        <v>112.3</v>
      </c>
      <c r="AD53" s="2">
        <v>117</v>
      </c>
      <c r="AE53" s="2">
        <f t="shared" si="0"/>
        <v>1525.6999999999998</v>
      </c>
      <c r="AF53" s="2">
        <f t="shared" si="1"/>
        <v>356.3</v>
      </c>
      <c r="AG53" s="2">
        <f t="shared" si="2"/>
        <v>228.8</v>
      </c>
      <c r="AH53" s="2">
        <f t="shared" si="3"/>
        <v>114.4</v>
      </c>
      <c r="AI53" s="2">
        <f t="shared" si="4"/>
        <v>788.3</v>
      </c>
      <c r="AJ53" s="2">
        <f t="shared" si="5"/>
        <v>117.36153846153844</v>
      </c>
      <c r="AK53" s="2">
        <f t="shared" si="6"/>
        <v>118.76666666666667</v>
      </c>
      <c r="AL53" s="2">
        <f t="shared" si="7"/>
        <v>114.4</v>
      </c>
      <c r="AM53" s="2">
        <f t="shared" si="8"/>
        <v>114.4</v>
      </c>
      <c r="AN53" s="2">
        <f t="shared" si="9"/>
        <v>112.61428571428571</v>
      </c>
    </row>
    <row r="54" spans="1:40" x14ac:dyDescent="0.3">
      <c r="A54" t="s">
        <v>32</v>
      </c>
      <c r="B54">
        <v>2014</v>
      </c>
      <c r="C54" t="s">
        <v>38</v>
      </c>
      <c r="D54" s="2">
        <v>123.1</v>
      </c>
      <c r="E54" s="2">
        <v>125.9</v>
      </c>
      <c r="F54" s="2">
        <v>115.4</v>
      </c>
      <c r="G54" s="2">
        <v>120.4</v>
      </c>
      <c r="H54" s="2">
        <v>103.4</v>
      </c>
      <c r="I54" s="2">
        <v>131.19999999999999</v>
      </c>
      <c r="J54" s="2">
        <v>137.5</v>
      </c>
      <c r="K54" s="2">
        <v>112.8</v>
      </c>
      <c r="L54" s="2">
        <v>101.4</v>
      </c>
      <c r="M54" s="2">
        <v>118.3</v>
      </c>
      <c r="N54" s="2">
        <v>113.2</v>
      </c>
      <c r="O54" s="2">
        <v>122.4</v>
      </c>
      <c r="P54" s="2">
        <v>122</v>
      </c>
      <c r="Q54" s="2">
        <v>119</v>
      </c>
      <c r="R54" s="2">
        <v>117.4</v>
      </c>
      <c r="S54" s="2">
        <v>113.2</v>
      </c>
      <c r="T54" s="2">
        <v>116.7</v>
      </c>
      <c r="U54" s="2">
        <v>113.9</v>
      </c>
      <c r="V54" s="2">
        <v>111.2</v>
      </c>
      <c r="W54" s="2">
        <v>114.3</v>
      </c>
      <c r="X54" s="2">
        <v>111.4</v>
      </c>
      <c r="Y54" s="2">
        <v>111.5</v>
      </c>
      <c r="Z54" s="2">
        <v>111.8</v>
      </c>
      <c r="AA54" s="2">
        <v>115.1</v>
      </c>
      <c r="AB54" s="2">
        <v>108.7</v>
      </c>
      <c r="AC54" s="2">
        <v>112.2</v>
      </c>
      <c r="AD54" s="2">
        <v>116.4</v>
      </c>
      <c r="AE54" s="2">
        <f t="shared" si="0"/>
        <v>1547</v>
      </c>
      <c r="AF54" s="2">
        <f t="shared" si="1"/>
        <v>347.3</v>
      </c>
      <c r="AG54" s="2">
        <f t="shared" si="2"/>
        <v>228.2</v>
      </c>
      <c r="AH54" s="2">
        <f t="shared" si="3"/>
        <v>111.2</v>
      </c>
      <c r="AI54" s="2">
        <f t="shared" si="4"/>
        <v>789.7</v>
      </c>
      <c r="AJ54" s="2">
        <f t="shared" si="5"/>
        <v>119</v>
      </c>
      <c r="AK54" s="2">
        <f t="shared" si="6"/>
        <v>115.76666666666667</v>
      </c>
      <c r="AL54" s="2">
        <f t="shared" si="7"/>
        <v>114.1</v>
      </c>
      <c r="AM54" s="2">
        <f t="shared" si="8"/>
        <v>111.2</v>
      </c>
      <c r="AN54" s="2">
        <f t="shared" si="9"/>
        <v>112.81428571428572</v>
      </c>
    </row>
    <row r="55" spans="1:40" x14ac:dyDescent="0.3">
      <c r="A55" t="s">
        <v>33</v>
      </c>
      <c r="B55">
        <v>2014</v>
      </c>
      <c r="C55" t="s">
        <v>38</v>
      </c>
      <c r="D55" s="2">
        <v>121.5</v>
      </c>
      <c r="E55" s="2">
        <v>123.1</v>
      </c>
      <c r="F55" s="2">
        <v>115.8</v>
      </c>
      <c r="G55" s="2">
        <v>119.7</v>
      </c>
      <c r="H55" s="2">
        <v>107.8</v>
      </c>
      <c r="I55" s="2">
        <v>128.30000000000001</v>
      </c>
      <c r="J55" s="2">
        <v>132.1</v>
      </c>
      <c r="K55" s="2">
        <v>112.4</v>
      </c>
      <c r="L55" s="2">
        <v>102.9</v>
      </c>
      <c r="M55" s="2">
        <v>114.3</v>
      </c>
      <c r="N55" s="2">
        <v>114.2</v>
      </c>
      <c r="O55" s="2">
        <v>121.2</v>
      </c>
      <c r="P55" s="2">
        <v>120.4</v>
      </c>
      <c r="Q55" s="2">
        <v>117.8</v>
      </c>
      <c r="R55" s="2">
        <v>118.8</v>
      </c>
      <c r="S55" s="2">
        <v>115.6</v>
      </c>
      <c r="T55" s="2">
        <v>118.3</v>
      </c>
      <c r="U55" s="2">
        <v>113.9</v>
      </c>
      <c r="V55" s="2">
        <v>113.2</v>
      </c>
      <c r="W55" s="2">
        <v>114.6</v>
      </c>
      <c r="X55" s="2">
        <v>112.3</v>
      </c>
      <c r="Y55" s="2">
        <v>111.8</v>
      </c>
      <c r="Z55" s="2">
        <v>111.6</v>
      </c>
      <c r="AA55" s="2">
        <v>114.8</v>
      </c>
      <c r="AB55" s="2">
        <v>108.3</v>
      </c>
      <c r="AC55" s="2">
        <v>112.3</v>
      </c>
      <c r="AD55" s="2">
        <v>116.7</v>
      </c>
      <c r="AE55" s="2">
        <f t="shared" si="0"/>
        <v>1533.7000000000003</v>
      </c>
      <c r="AF55" s="2">
        <f t="shared" si="1"/>
        <v>352.7</v>
      </c>
      <c r="AG55" s="2">
        <f t="shared" si="2"/>
        <v>228.5</v>
      </c>
      <c r="AH55" s="2">
        <f t="shared" si="3"/>
        <v>113.2</v>
      </c>
      <c r="AI55" s="2">
        <f t="shared" si="4"/>
        <v>788.89999999999986</v>
      </c>
      <c r="AJ55" s="2">
        <f t="shared" si="5"/>
        <v>117.9769230769231</v>
      </c>
      <c r="AK55" s="2">
        <f t="shared" si="6"/>
        <v>117.56666666666666</v>
      </c>
      <c r="AL55" s="2">
        <f t="shared" si="7"/>
        <v>114.25</v>
      </c>
      <c r="AM55" s="2">
        <f t="shared" si="8"/>
        <v>113.2</v>
      </c>
      <c r="AN55" s="2">
        <f t="shared" si="9"/>
        <v>112.69999999999997</v>
      </c>
    </row>
    <row r="56" spans="1:40" x14ac:dyDescent="0.3">
      <c r="A56" t="s">
        <v>30</v>
      </c>
      <c r="B56">
        <v>2014</v>
      </c>
      <c r="C56" t="s">
        <v>39</v>
      </c>
      <c r="D56" s="2">
        <v>121.7</v>
      </c>
      <c r="E56" s="2">
        <v>122.5</v>
      </c>
      <c r="F56" s="2">
        <v>117.7</v>
      </c>
      <c r="G56" s="2">
        <v>120.6</v>
      </c>
      <c r="H56" s="2">
        <v>110.4</v>
      </c>
      <c r="I56" s="2">
        <v>129.1</v>
      </c>
      <c r="J56" s="2">
        <v>150.1</v>
      </c>
      <c r="K56" s="2">
        <v>113.2</v>
      </c>
      <c r="L56" s="2">
        <v>104.8</v>
      </c>
      <c r="M56" s="2">
        <v>113.3</v>
      </c>
      <c r="N56" s="2">
        <v>115.6</v>
      </c>
      <c r="O56" s="2">
        <v>120.9</v>
      </c>
      <c r="P56" s="2">
        <v>123.3</v>
      </c>
      <c r="Q56" s="2">
        <v>118</v>
      </c>
      <c r="R56" s="2">
        <v>120.7</v>
      </c>
      <c r="S56" s="2">
        <v>118.3</v>
      </c>
      <c r="T56" s="2">
        <v>120.3</v>
      </c>
      <c r="U56" s="2">
        <f>AVERAGE(U57,U58)</f>
        <v>114.8</v>
      </c>
      <c r="V56" s="2">
        <v>115.3</v>
      </c>
      <c r="W56" s="2">
        <v>115.4</v>
      </c>
      <c r="X56" s="2">
        <v>113.4</v>
      </c>
      <c r="Y56" s="2">
        <v>113.2</v>
      </c>
      <c r="Z56" s="2">
        <v>111.8</v>
      </c>
      <c r="AA56" s="2">
        <v>115.5</v>
      </c>
      <c r="AB56" s="2">
        <v>108.8</v>
      </c>
      <c r="AC56" s="2">
        <v>113.1</v>
      </c>
      <c r="AD56" s="2">
        <v>119.5</v>
      </c>
      <c r="AE56" s="2">
        <f t="shared" si="0"/>
        <v>1563.2</v>
      </c>
      <c r="AF56" s="2">
        <f t="shared" si="1"/>
        <v>359.3</v>
      </c>
      <c r="AG56" s="2">
        <f t="shared" si="2"/>
        <v>230.2</v>
      </c>
      <c r="AH56" s="2">
        <f t="shared" si="3"/>
        <v>115.3</v>
      </c>
      <c r="AI56" s="2">
        <f t="shared" si="4"/>
        <v>793.80000000000007</v>
      </c>
      <c r="AJ56" s="2">
        <f t="shared" si="5"/>
        <v>120.24615384615385</v>
      </c>
      <c r="AK56" s="2">
        <f t="shared" si="6"/>
        <v>119.76666666666667</v>
      </c>
      <c r="AL56" s="2">
        <f t="shared" si="7"/>
        <v>115.1</v>
      </c>
      <c r="AM56" s="2">
        <f t="shared" si="8"/>
        <v>115.3</v>
      </c>
      <c r="AN56" s="2">
        <f t="shared" si="9"/>
        <v>113.4</v>
      </c>
    </row>
    <row r="57" spans="1:40" x14ac:dyDescent="0.3">
      <c r="A57" t="s">
        <v>32</v>
      </c>
      <c r="B57">
        <v>2014</v>
      </c>
      <c r="C57" t="s">
        <v>39</v>
      </c>
      <c r="D57" s="2">
        <v>123.8</v>
      </c>
      <c r="E57" s="2">
        <v>126.4</v>
      </c>
      <c r="F57" s="2">
        <v>118</v>
      </c>
      <c r="G57" s="2">
        <v>121.6</v>
      </c>
      <c r="H57" s="2">
        <v>103.5</v>
      </c>
      <c r="I57" s="2">
        <v>133.69999999999999</v>
      </c>
      <c r="J57" s="2">
        <v>172.4</v>
      </c>
      <c r="K57" s="2">
        <v>113.1</v>
      </c>
      <c r="L57" s="2">
        <v>102.7</v>
      </c>
      <c r="M57" s="2">
        <v>120</v>
      </c>
      <c r="N57" s="2">
        <v>113.8</v>
      </c>
      <c r="O57" s="2">
        <v>123.4</v>
      </c>
      <c r="P57" s="2">
        <v>127.1</v>
      </c>
      <c r="Q57" s="2">
        <v>121</v>
      </c>
      <c r="R57" s="2">
        <v>118</v>
      </c>
      <c r="S57" s="2">
        <v>113.6</v>
      </c>
      <c r="T57" s="2">
        <v>117.4</v>
      </c>
      <c r="U57" s="2">
        <v>114.8</v>
      </c>
      <c r="V57" s="2">
        <v>111.6</v>
      </c>
      <c r="W57" s="2">
        <v>114.9</v>
      </c>
      <c r="X57" s="2">
        <v>111.5</v>
      </c>
      <c r="Y57" s="2">
        <v>113</v>
      </c>
      <c r="Z57" s="2">
        <v>112.4</v>
      </c>
      <c r="AA57" s="2">
        <v>117.8</v>
      </c>
      <c r="AB57" s="2">
        <v>109.7</v>
      </c>
      <c r="AC57" s="2">
        <v>113.5</v>
      </c>
      <c r="AD57" s="2">
        <v>118.9</v>
      </c>
      <c r="AE57" s="2">
        <f t="shared" si="0"/>
        <v>1599.5</v>
      </c>
      <c r="AF57" s="2">
        <f t="shared" si="1"/>
        <v>349</v>
      </c>
      <c r="AG57" s="2">
        <f t="shared" si="2"/>
        <v>229.7</v>
      </c>
      <c r="AH57" s="2">
        <f t="shared" si="3"/>
        <v>111.6</v>
      </c>
      <c r="AI57" s="2">
        <f t="shared" si="4"/>
        <v>798.9</v>
      </c>
      <c r="AJ57" s="2">
        <f t="shared" si="5"/>
        <v>123.03846153846153</v>
      </c>
      <c r="AK57" s="2">
        <f t="shared" si="6"/>
        <v>116.33333333333333</v>
      </c>
      <c r="AL57" s="2">
        <f t="shared" si="7"/>
        <v>114.85</v>
      </c>
      <c r="AM57" s="2">
        <f t="shared" si="8"/>
        <v>111.6</v>
      </c>
      <c r="AN57" s="2">
        <f t="shared" si="9"/>
        <v>114.12857142857142</v>
      </c>
    </row>
    <row r="58" spans="1:40" x14ac:dyDescent="0.3">
      <c r="A58" t="s">
        <v>33</v>
      </c>
      <c r="B58">
        <v>2014</v>
      </c>
      <c r="C58" t="s">
        <v>39</v>
      </c>
      <c r="D58" s="2">
        <v>122.4</v>
      </c>
      <c r="E58" s="2">
        <v>123.9</v>
      </c>
      <c r="F58" s="2">
        <v>117.8</v>
      </c>
      <c r="G58" s="2">
        <v>121</v>
      </c>
      <c r="H58" s="2">
        <v>107.9</v>
      </c>
      <c r="I58" s="2">
        <v>131.19999999999999</v>
      </c>
      <c r="J58" s="2">
        <v>157.69999999999999</v>
      </c>
      <c r="K58" s="2">
        <v>113.2</v>
      </c>
      <c r="L58" s="2">
        <v>104.1</v>
      </c>
      <c r="M58" s="2">
        <v>115.5</v>
      </c>
      <c r="N58" s="2">
        <v>114.8</v>
      </c>
      <c r="O58" s="2">
        <v>122.1</v>
      </c>
      <c r="P58" s="2">
        <v>124.7</v>
      </c>
      <c r="Q58" s="2">
        <v>118.8</v>
      </c>
      <c r="R58" s="2">
        <v>119.6</v>
      </c>
      <c r="S58" s="2">
        <v>116.3</v>
      </c>
      <c r="T58" s="2">
        <v>119.1</v>
      </c>
      <c r="U58" s="2">
        <v>114.8</v>
      </c>
      <c r="V58" s="2">
        <v>113.9</v>
      </c>
      <c r="W58" s="2">
        <v>115.2</v>
      </c>
      <c r="X58" s="2">
        <v>112.7</v>
      </c>
      <c r="Y58" s="2">
        <v>113.1</v>
      </c>
      <c r="Z58" s="2">
        <v>112.1</v>
      </c>
      <c r="AA58" s="2">
        <v>116.8</v>
      </c>
      <c r="AB58" s="2">
        <v>109.2</v>
      </c>
      <c r="AC58" s="2">
        <v>113.3</v>
      </c>
      <c r="AD58" s="2">
        <v>119.2</v>
      </c>
      <c r="AE58" s="2">
        <f t="shared" si="0"/>
        <v>1576.3</v>
      </c>
      <c r="AF58" s="2">
        <f t="shared" si="1"/>
        <v>355</v>
      </c>
      <c r="AG58" s="2">
        <f t="shared" si="2"/>
        <v>230</v>
      </c>
      <c r="AH58" s="2">
        <f t="shared" si="3"/>
        <v>113.9</v>
      </c>
      <c r="AI58" s="2">
        <f t="shared" si="4"/>
        <v>795.99999999999989</v>
      </c>
      <c r="AJ58" s="2">
        <f t="shared" si="5"/>
        <v>121.25384615384615</v>
      </c>
      <c r="AK58" s="2">
        <f t="shared" si="6"/>
        <v>118.33333333333333</v>
      </c>
      <c r="AL58" s="2">
        <f t="shared" si="7"/>
        <v>115</v>
      </c>
      <c r="AM58" s="2">
        <f t="shared" si="8"/>
        <v>113.9</v>
      </c>
      <c r="AN58" s="2">
        <f t="shared" si="9"/>
        <v>113.71428571428569</v>
      </c>
    </row>
    <row r="59" spans="1:40" x14ac:dyDescent="0.3">
      <c r="A59" t="s">
        <v>30</v>
      </c>
      <c r="B59">
        <v>2014</v>
      </c>
      <c r="C59" t="s">
        <v>40</v>
      </c>
      <c r="D59" s="2">
        <v>121.8</v>
      </c>
      <c r="E59" s="2">
        <v>122.8</v>
      </c>
      <c r="F59" s="2">
        <v>117.8</v>
      </c>
      <c r="G59" s="2">
        <v>121.9</v>
      </c>
      <c r="H59" s="2">
        <v>110.6</v>
      </c>
      <c r="I59" s="2">
        <v>129.69999999999999</v>
      </c>
      <c r="J59" s="2">
        <v>161.1</v>
      </c>
      <c r="K59" s="2">
        <v>114.1</v>
      </c>
      <c r="L59" s="2">
        <v>105.1</v>
      </c>
      <c r="M59" s="2">
        <v>114.6</v>
      </c>
      <c r="N59" s="2">
        <v>115.8</v>
      </c>
      <c r="O59" s="2">
        <v>121.7</v>
      </c>
      <c r="P59" s="2">
        <v>125.3</v>
      </c>
      <c r="Q59" s="2">
        <v>118.8</v>
      </c>
      <c r="R59" s="2">
        <v>120.9</v>
      </c>
      <c r="S59" s="2">
        <v>118.8</v>
      </c>
      <c r="T59" s="2">
        <v>120.7</v>
      </c>
      <c r="U59" s="2">
        <f>AVERAGE(U60,U61)</f>
        <v>115.5</v>
      </c>
      <c r="V59" s="2">
        <v>115.4</v>
      </c>
      <c r="W59" s="2">
        <v>115.9</v>
      </c>
      <c r="X59" s="2">
        <v>114</v>
      </c>
      <c r="Y59" s="2">
        <v>113.2</v>
      </c>
      <c r="Z59" s="2">
        <v>112.2</v>
      </c>
      <c r="AA59" s="2">
        <v>116.2</v>
      </c>
      <c r="AB59" s="2">
        <v>109.4</v>
      </c>
      <c r="AC59" s="2">
        <v>113.5</v>
      </c>
      <c r="AD59" s="2">
        <v>120.7</v>
      </c>
      <c r="AE59" s="2">
        <f t="shared" si="0"/>
        <v>1582.2999999999997</v>
      </c>
      <c r="AF59" s="2">
        <f t="shared" si="1"/>
        <v>360.4</v>
      </c>
      <c r="AG59" s="2">
        <f t="shared" si="2"/>
        <v>231.4</v>
      </c>
      <c r="AH59" s="2">
        <f t="shared" si="3"/>
        <v>115.4</v>
      </c>
      <c r="AI59" s="2">
        <f t="shared" si="4"/>
        <v>797.3</v>
      </c>
      <c r="AJ59" s="2">
        <f t="shared" si="5"/>
        <v>121.71538461538459</v>
      </c>
      <c r="AK59" s="2">
        <f t="shared" si="6"/>
        <v>120.13333333333333</v>
      </c>
      <c r="AL59" s="2">
        <f t="shared" si="7"/>
        <v>115.7</v>
      </c>
      <c r="AM59" s="2">
        <f t="shared" si="8"/>
        <v>115.4</v>
      </c>
      <c r="AN59" s="2">
        <f t="shared" si="9"/>
        <v>113.89999999999999</v>
      </c>
    </row>
    <row r="60" spans="1:40" x14ac:dyDescent="0.3">
      <c r="A60" t="s">
        <v>32</v>
      </c>
      <c r="B60">
        <v>2014</v>
      </c>
      <c r="C60" t="s">
        <v>40</v>
      </c>
      <c r="D60" s="2">
        <v>124.8</v>
      </c>
      <c r="E60" s="2">
        <v>127.3</v>
      </c>
      <c r="F60" s="2">
        <v>116.5</v>
      </c>
      <c r="G60" s="2">
        <v>122.2</v>
      </c>
      <c r="H60" s="2">
        <v>103.6</v>
      </c>
      <c r="I60" s="2">
        <v>132.69999999999999</v>
      </c>
      <c r="J60" s="2">
        <v>181.9</v>
      </c>
      <c r="K60" s="2">
        <v>115.2</v>
      </c>
      <c r="L60" s="2">
        <v>102.7</v>
      </c>
      <c r="M60" s="2">
        <v>122.1</v>
      </c>
      <c r="N60" s="2">
        <v>114.4</v>
      </c>
      <c r="O60" s="2">
        <v>124.7</v>
      </c>
      <c r="P60" s="2">
        <v>128.9</v>
      </c>
      <c r="Q60" s="2">
        <v>123</v>
      </c>
      <c r="R60" s="2">
        <v>118.6</v>
      </c>
      <c r="S60" s="2">
        <v>114.1</v>
      </c>
      <c r="T60" s="2">
        <v>117.9</v>
      </c>
      <c r="U60" s="2">
        <v>115.5</v>
      </c>
      <c r="V60" s="2">
        <v>111.8</v>
      </c>
      <c r="W60" s="2">
        <v>115.3</v>
      </c>
      <c r="X60" s="2">
        <v>112.2</v>
      </c>
      <c r="Y60" s="2">
        <v>112.5</v>
      </c>
      <c r="Z60" s="2">
        <v>112.9</v>
      </c>
      <c r="AA60" s="2">
        <v>119.2</v>
      </c>
      <c r="AB60" s="2">
        <v>110.5</v>
      </c>
      <c r="AC60" s="2">
        <v>113.9</v>
      </c>
      <c r="AD60" s="2">
        <v>119.9</v>
      </c>
      <c r="AE60" s="2">
        <f t="shared" si="0"/>
        <v>1617</v>
      </c>
      <c r="AF60" s="2">
        <f t="shared" si="1"/>
        <v>350.6</v>
      </c>
      <c r="AG60" s="2">
        <f t="shared" si="2"/>
        <v>230.8</v>
      </c>
      <c r="AH60" s="2">
        <f t="shared" si="3"/>
        <v>111.8</v>
      </c>
      <c r="AI60" s="2">
        <f t="shared" si="4"/>
        <v>804.19999999999993</v>
      </c>
      <c r="AJ60" s="2">
        <f t="shared" si="5"/>
        <v>124.38461538461539</v>
      </c>
      <c r="AK60" s="2">
        <f t="shared" si="6"/>
        <v>116.86666666666667</v>
      </c>
      <c r="AL60" s="2">
        <f t="shared" si="7"/>
        <v>115.4</v>
      </c>
      <c r="AM60" s="2">
        <f t="shared" si="8"/>
        <v>111.8</v>
      </c>
      <c r="AN60" s="2">
        <f t="shared" si="9"/>
        <v>114.88571428571427</v>
      </c>
    </row>
    <row r="61" spans="1:40" x14ac:dyDescent="0.3">
      <c r="A61" t="s">
        <v>33</v>
      </c>
      <c r="B61">
        <v>2014</v>
      </c>
      <c r="C61" t="s">
        <v>40</v>
      </c>
      <c r="D61" s="2">
        <v>122.7</v>
      </c>
      <c r="E61" s="2">
        <v>124.4</v>
      </c>
      <c r="F61" s="2">
        <v>117.3</v>
      </c>
      <c r="G61" s="2">
        <v>122</v>
      </c>
      <c r="H61" s="2">
        <v>108</v>
      </c>
      <c r="I61" s="2">
        <v>131.1</v>
      </c>
      <c r="J61" s="2">
        <v>168.2</v>
      </c>
      <c r="K61" s="2">
        <v>114.5</v>
      </c>
      <c r="L61" s="2">
        <v>104.3</v>
      </c>
      <c r="M61" s="2">
        <v>117.1</v>
      </c>
      <c r="N61" s="2">
        <v>115.2</v>
      </c>
      <c r="O61" s="2">
        <v>123.1</v>
      </c>
      <c r="P61" s="2">
        <v>126.6</v>
      </c>
      <c r="Q61" s="2">
        <v>119.9</v>
      </c>
      <c r="R61" s="2">
        <v>120</v>
      </c>
      <c r="S61" s="2">
        <v>116.8</v>
      </c>
      <c r="T61" s="2">
        <v>119.6</v>
      </c>
      <c r="U61" s="2">
        <v>115.5</v>
      </c>
      <c r="V61" s="2">
        <v>114</v>
      </c>
      <c r="W61" s="2">
        <v>115.6</v>
      </c>
      <c r="X61" s="2">
        <v>113.3</v>
      </c>
      <c r="Y61" s="2">
        <v>112.8</v>
      </c>
      <c r="Z61" s="2">
        <v>112.6</v>
      </c>
      <c r="AA61" s="2">
        <v>118</v>
      </c>
      <c r="AB61" s="2">
        <v>109.9</v>
      </c>
      <c r="AC61" s="2">
        <v>113.7</v>
      </c>
      <c r="AD61" s="2">
        <v>120.3</v>
      </c>
      <c r="AE61" s="2">
        <f t="shared" si="0"/>
        <v>1594.4999999999998</v>
      </c>
      <c r="AF61" s="2">
        <f t="shared" si="1"/>
        <v>356.4</v>
      </c>
      <c r="AG61" s="2">
        <f t="shared" si="2"/>
        <v>231.1</v>
      </c>
      <c r="AH61" s="2">
        <f t="shared" si="3"/>
        <v>114</v>
      </c>
      <c r="AI61" s="2">
        <f t="shared" si="4"/>
        <v>800.2</v>
      </c>
      <c r="AJ61" s="2">
        <f t="shared" si="5"/>
        <v>122.65384615384613</v>
      </c>
      <c r="AK61" s="2">
        <f t="shared" si="6"/>
        <v>118.8</v>
      </c>
      <c r="AL61" s="2">
        <f t="shared" si="7"/>
        <v>115.55</v>
      </c>
      <c r="AM61" s="2">
        <f t="shared" si="8"/>
        <v>114</v>
      </c>
      <c r="AN61" s="2">
        <f t="shared" si="9"/>
        <v>114.31428571428572</v>
      </c>
    </row>
    <row r="62" spans="1:40" x14ac:dyDescent="0.3">
      <c r="A62" t="s">
        <v>30</v>
      </c>
      <c r="B62">
        <v>2014</v>
      </c>
      <c r="C62" t="s">
        <v>41</v>
      </c>
      <c r="D62" s="2">
        <v>122.3</v>
      </c>
      <c r="E62" s="2">
        <v>122.4</v>
      </c>
      <c r="F62" s="2">
        <v>117.8</v>
      </c>
      <c r="G62" s="2">
        <v>122.7</v>
      </c>
      <c r="H62" s="2">
        <v>110.4</v>
      </c>
      <c r="I62" s="2">
        <v>129.80000000000001</v>
      </c>
      <c r="J62" s="2">
        <v>158.80000000000001</v>
      </c>
      <c r="K62" s="2">
        <v>115</v>
      </c>
      <c r="L62" s="2">
        <v>104.7</v>
      </c>
      <c r="M62" s="2">
        <v>114.9</v>
      </c>
      <c r="N62" s="2">
        <v>116.5</v>
      </c>
      <c r="O62" s="2">
        <v>122.6</v>
      </c>
      <c r="P62" s="2">
        <v>125.3</v>
      </c>
      <c r="Q62" s="2">
        <v>119.5</v>
      </c>
      <c r="R62" s="2">
        <v>121.7</v>
      </c>
      <c r="S62" s="2">
        <v>119.2</v>
      </c>
      <c r="T62" s="2">
        <v>121.3</v>
      </c>
      <c r="U62" s="2">
        <f>AVERAGE(U63,U64)</f>
        <v>116.1</v>
      </c>
      <c r="V62" s="2">
        <v>115.8</v>
      </c>
      <c r="W62" s="2">
        <v>116.7</v>
      </c>
      <c r="X62" s="2">
        <v>114.5</v>
      </c>
      <c r="Y62" s="2">
        <v>112.8</v>
      </c>
      <c r="Z62" s="2">
        <v>112.6</v>
      </c>
      <c r="AA62" s="2">
        <v>116.6</v>
      </c>
      <c r="AB62" s="2">
        <v>109.1</v>
      </c>
      <c r="AC62" s="2">
        <v>113.7</v>
      </c>
      <c r="AD62" s="2">
        <v>120.9</v>
      </c>
      <c r="AE62" s="2">
        <f t="shared" si="0"/>
        <v>1583.2</v>
      </c>
      <c r="AF62" s="2">
        <f t="shared" si="1"/>
        <v>362.2</v>
      </c>
      <c r="AG62" s="2">
        <f t="shared" si="2"/>
        <v>232.8</v>
      </c>
      <c r="AH62" s="2">
        <f t="shared" si="3"/>
        <v>115.8</v>
      </c>
      <c r="AI62" s="2">
        <f t="shared" si="4"/>
        <v>798.80000000000007</v>
      </c>
      <c r="AJ62" s="2">
        <f t="shared" si="5"/>
        <v>121.78461538461539</v>
      </c>
      <c r="AK62" s="2">
        <f t="shared" si="6"/>
        <v>120.73333333333333</v>
      </c>
      <c r="AL62" s="2">
        <f t="shared" si="7"/>
        <v>116.4</v>
      </c>
      <c r="AM62" s="2">
        <f t="shared" si="8"/>
        <v>115.8</v>
      </c>
      <c r="AN62" s="2">
        <f t="shared" si="9"/>
        <v>114.11428571428573</v>
      </c>
    </row>
    <row r="63" spans="1:40" x14ac:dyDescent="0.3">
      <c r="A63" t="s">
        <v>32</v>
      </c>
      <c r="B63">
        <v>2014</v>
      </c>
      <c r="C63" t="s">
        <v>41</v>
      </c>
      <c r="D63" s="2">
        <v>124.2</v>
      </c>
      <c r="E63" s="2">
        <v>125.4</v>
      </c>
      <c r="F63" s="2">
        <v>116.4</v>
      </c>
      <c r="G63" s="2">
        <v>122.7</v>
      </c>
      <c r="H63" s="2">
        <v>103.5</v>
      </c>
      <c r="I63" s="2">
        <v>124.5</v>
      </c>
      <c r="J63" s="2">
        <v>168.6</v>
      </c>
      <c r="K63" s="2">
        <v>116.9</v>
      </c>
      <c r="L63" s="2">
        <v>101.9</v>
      </c>
      <c r="M63" s="2">
        <v>122.9</v>
      </c>
      <c r="N63" s="2">
        <v>114.8</v>
      </c>
      <c r="O63" s="2">
        <v>125.2</v>
      </c>
      <c r="P63" s="2">
        <v>126.7</v>
      </c>
      <c r="Q63" s="2">
        <v>124.3</v>
      </c>
      <c r="R63" s="2">
        <v>119.2</v>
      </c>
      <c r="S63" s="2">
        <v>114.5</v>
      </c>
      <c r="T63" s="2">
        <v>118.4</v>
      </c>
      <c r="U63" s="2">
        <v>116.1</v>
      </c>
      <c r="V63" s="2">
        <v>111.8</v>
      </c>
      <c r="W63" s="2">
        <v>115.5</v>
      </c>
      <c r="X63" s="2">
        <v>112.3</v>
      </c>
      <c r="Y63" s="2">
        <v>111.2</v>
      </c>
      <c r="Z63" s="2">
        <v>113.4</v>
      </c>
      <c r="AA63" s="2">
        <v>120</v>
      </c>
      <c r="AB63" s="2">
        <v>110</v>
      </c>
      <c r="AC63" s="2">
        <v>113.6</v>
      </c>
      <c r="AD63" s="2">
        <v>119.2</v>
      </c>
      <c r="AE63" s="2">
        <f t="shared" si="0"/>
        <v>1593.7000000000003</v>
      </c>
      <c r="AF63" s="2">
        <f t="shared" si="1"/>
        <v>352.1</v>
      </c>
      <c r="AG63" s="2">
        <f t="shared" si="2"/>
        <v>231.6</v>
      </c>
      <c r="AH63" s="2">
        <f t="shared" si="3"/>
        <v>111.8</v>
      </c>
      <c r="AI63" s="2">
        <f t="shared" si="4"/>
        <v>804.8</v>
      </c>
      <c r="AJ63" s="2">
        <f t="shared" si="5"/>
        <v>122.59230769230771</v>
      </c>
      <c r="AK63" s="2">
        <f t="shared" si="6"/>
        <v>117.36666666666667</v>
      </c>
      <c r="AL63" s="2">
        <f t="shared" si="7"/>
        <v>115.8</v>
      </c>
      <c r="AM63" s="2">
        <f t="shared" si="8"/>
        <v>111.8</v>
      </c>
      <c r="AN63" s="2">
        <f t="shared" si="9"/>
        <v>114.97142857142856</v>
      </c>
    </row>
    <row r="64" spans="1:40" x14ac:dyDescent="0.3">
      <c r="A64" t="s">
        <v>33</v>
      </c>
      <c r="B64">
        <v>2014</v>
      </c>
      <c r="C64" t="s">
        <v>41</v>
      </c>
      <c r="D64" s="2">
        <v>122.9</v>
      </c>
      <c r="E64" s="2">
        <v>123.5</v>
      </c>
      <c r="F64" s="2">
        <v>117.3</v>
      </c>
      <c r="G64" s="2">
        <v>122.7</v>
      </c>
      <c r="H64" s="2">
        <v>107.9</v>
      </c>
      <c r="I64" s="2">
        <v>127.3</v>
      </c>
      <c r="J64" s="2">
        <v>162.1</v>
      </c>
      <c r="K64" s="2">
        <v>115.6</v>
      </c>
      <c r="L64" s="2">
        <v>103.8</v>
      </c>
      <c r="M64" s="2">
        <v>117.6</v>
      </c>
      <c r="N64" s="2">
        <v>115.8</v>
      </c>
      <c r="O64" s="2">
        <v>123.8</v>
      </c>
      <c r="P64" s="2">
        <v>125.8</v>
      </c>
      <c r="Q64" s="2">
        <v>120.8</v>
      </c>
      <c r="R64" s="2">
        <v>120.7</v>
      </c>
      <c r="S64" s="2">
        <v>117.2</v>
      </c>
      <c r="T64" s="2">
        <v>120.1</v>
      </c>
      <c r="U64" s="2">
        <v>116.1</v>
      </c>
      <c r="V64" s="2">
        <v>114.3</v>
      </c>
      <c r="W64" s="2">
        <v>116.1</v>
      </c>
      <c r="X64" s="2">
        <v>113.7</v>
      </c>
      <c r="Y64" s="2">
        <v>112</v>
      </c>
      <c r="Z64" s="2">
        <v>113.1</v>
      </c>
      <c r="AA64" s="2">
        <v>118.6</v>
      </c>
      <c r="AB64" s="2">
        <v>109.5</v>
      </c>
      <c r="AC64" s="2">
        <v>113.7</v>
      </c>
      <c r="AD64" s="2">
        <v>120.1</v>
      </c>
      <c r="AE64" s="2">
        <f t="shared" si="0"/>
        <v>1586.0999999999997</v>
      </c>
      <c r="AF64" s="2">
        <f t="shared" si="1"/>
        <v>358</v>
      </c>
      <c r="AG64" s="2">
        <f t="shared" si="2"/>
        <v>232.2</v>
      </c>
      <c r="AH64" s="2">
        <f t="shared" si="3"/>
        <v>114.3</v>
      </c>
      <c r="AI64" s="2">
        <f t="shared" si="4"/>
        <v>801.4</v>
      </c>
      <c r="AJ64" s="2">
        <f t="shared" si="5"/>
        <v>122.00769230769228</v>
      </c>
      <c r="AK64" s="2">
        <f t="shared" si="6"/>
        <v>119.33333333333333</v>
      </c>
      <c r="AL64" s="2">
        <f t="shared" si="7"/>
        <v>116.1</v>
      </c>
      <c r="AM64" s="2">
        <f t="shared" si="8"/>
        <v>114.3</v>
      </c>
      <c r="AN64" s="2">
        <f t="shared" si="9"/>
        <v>114.48571428571428</v>
      </c>
    </row>
    <row r="65" spans="1:40" x14ac:dyDescent="0.3">
      <c r="A65" t="s">
        <v>30</v>
      </c>
      <c r="B65">
        <v>2014</v>
      </c>
      <c r="C65" t="s">
        <v>42</v>
      </c>
      <c r="D65" s="2">
        <v>122.6</v>
      </c>
      <c r="E65" s="2">
        <v>122.5</v>
      </c>
      <c r="F65" s="2">
        <v>118.3</v>
      </c>
      <c r="G65" s="2">
        <v>123.2</v>
      </c>
      <c r="H65" s="2">
        <v>110.5</v>
      </c>
      <c r="I65" s="2">
        <v>128.9</v>
      </c>
      <c r="J65" s="2">
        <v>155.30000000000001</v>
      </c>
      <c r="K65" s="2">
        <v>115.5</v>
      </c>
      <c r="L65" s="2">
        <v>104</v>
      </c>
      <c r="M65" s="2">
        <v>115.3</v>
      </c>
      <c r="N65" s="2">
        <v>116.8</v>
      </c>
      <c r="O65" s="2">
        <v>123.2</v>
      </c>
      <c r="P65" s="2">
        <v>125.1</v>
      </c>
      <c r="Q65" s="2">
        <v>120</v>
      </c>
      <c r="R65" s="2">
        <v>122.7</v>
      </c>
      <c r="S65" s="2">
        <v>120.3</v>
      </c>
      <c r="T65" s="2">
        <v>122.3</v>
      </c>
      <c r="U65" s="2">
        <f>AVERAGE(U66,U67)</f>
        <v>116.7</v>
      </c>
      <c r="V65" s="2">
        <v>116.4</v>
      </c>
      <c r="W65" s="2">
        <v>117.5</v>
      </c>
      <c r="X65" s="2">
        <v>115.3</v>
      </c>
      <c r="Y65" s="2">
        <v>112.6</v>
      </c>
      <c r="Z65" s="2">
        <v>113</v>
      </c>
      <c r="AA65" s="2">
        <v>116.9</v>
      </c>
      <c r="AB65" s="2">
        <v>109.3</v>
      </c>
      <c r="AC65" s="2">
        <v>114</v>
      </c>
      <c r="AD65" s="2">
        <v>121</v>
      </c>
      <c r="AE65" s="2">
        <f t="shared" si="0"/>
        <v>1581.1999999999998</v>
      </c>
      <c r="AF65" s="2">
        <f t="shared" si="1"/>
        <v>365.3</v>
      </c>
      <c r="AG65" s="2">
        <f t="shared" si="2"/>
        <v>234.2</v>
      </c>
      <c r="AH65" s="2">
        <f t="shared" si="3"/>
        <v>116.4</v>
      </c>
      <c r="AI65" s="2">
        <f t="shared" si="4"/>
        <v>801.09999999999991</v>
      </c>
      <c r="AJ65" s="2">
        <f t="shared" si="5"/>
        <v>121.63076923076922</v>
      </c>
      <c r="AK65" s="2">
        <f t="shared" si="6"/>
        <v>121.76666666666667</v>
      </c>
      <c r="AL65" s="2">
        <f t="shared" si="7"/>
        <v>117.1</v>
      </c>
      <c r="AM65" s="2">
        <f t="shared" si="8"/>
        <v>116.4</v>
      </c>
      <c r="AN65" s="2">
        <f t="shared" si="9"/>
        <v>114.44285714285714</v>
      </c>
    </row>
    <row r="66" spans="1:40" x14ac:dyDescent="0.3">
      <c r="A66" t="s">
        <v>32</v>
      </c>
      <c r="B66">
        <v>2014</v>
      </c>
      <c r="C66" t="s">
        <v>42</v>
      </c>
      <c r="D66" s="2">
        <v>124.6</v>
      </c>
      <c r="E66" s="2">
        <v>126.1</v>
      </c>
      <c r="F66" s="2">
        <v>117.8</v>
      </c>
      <c r="G66" s="2">
        <v>123.1</v>
      </c>
      <c r="H66" s="2">
        <v>103.5</v>
      </c>
      <c r="I66" s="2">
        <v>123.5</v>
      </c>
      <c r="J66" s="2">
        <v>159.6</v>
      </c>
      <c r="K66" s="2">
        <v>117.4</v>
      </c>
      <c r="L66" s="2">
        <v>101.2</v>
      </c>
      <c r="M66" s="2">
        <v>123.8</v>
      </c>
      <c r="N66" s="2">
        <v>115.2</v>
      </c>
      <c r="O66" s="2">
        <v>125.9</v>
      </c>
      <c r="P66" s="2">
        <v>125.8</v>
      </c>
      <c r="Q66" s="2">
        <v>124.3</v>
      </c>
      <c r="R66" s="2">
        <v>119.6</v>
      </c>
      <c r="S66" s="2">
        <v>114.9</v>
      </c>
      <c r="T66" s="2">
        <v>118.9</v>
      </c>
      <c r="U66" s="2">
        <v>116.7</v>
      </c>
      <c r="V66" s="2">
        <v>112</v>
      </c>
      <c r="W66" s="2">
        <v>115.8</v>
      </c>
      <c r="X66" s="2">
        <v>112.6</v>
      </c>
      <c r="Y66" s="2">
        <v>111</v>
      </c>
      <c r="Z66" s="2">
        <v>113.6</v>
      </c>
      <c r="AA66" s="2">
        <v>120.2</v>
      </c>
      <c r="AB66" s="2">
        <v>110.1</v>
      </c>
      <c r="AC66" s="2">
        <v>113.7</v>
      </c>
      <c r="AD66" s="2">
        <v>119.1</v>
      </c>
      <c r="AE66" s="2">
        <f t="shared" si="0"/>
        <v>1587.5</v>
      </c>
      <c r="AF66" s="2">
        <f t="shared" si="1"/>
        <v>353.4</v>
      </c>
      <c r="AG66" s="2">
        <f t="shared" si="2"/>
        <v>232.5</v>
      </c>
      <c r="AH66" s="2">
        <f t="shared" si="3"/>
        <v>112</v>
      </c>
      <c r="AI66" s="2">
        <f t="shared" si="4"/>
        <v>805.5</v>
      </c>
      <c r="AJ66" s="2">
        <f t="shared" si="5"/>
        <v>122.11538461538461</v>
      </c>
      <c r="AK66" s="2">
        <f t="shared" si="6"/>
        <v>117.8</v>
      </c>
      <c r="AL66" s="2">
        <f t="shared" si="7"/>
        <v>116.25</v>
      </c>
      <c r="AM66" s="2">
        <f t="shared" si="8"/>
        <v>112</v>
      </c>
      <c r="AN66" s="2">
        <f t="shared" si="9"/>
        <v>115.07142857142857</v>
      </c>
    </row>
    <row r="67" spans="1:40" x14ac:dyDescent="0.3">
      <c r="A67" t="s">
        <v>33</v>
      </c>
      <c r="B67">
        <v>2014</v>
      </c>
      <c r="C67" t="s">
        <v>42</v>
      </c>
      <c r="D67" s="2">
        <v>123.2</v>
      </c>
      <c r="E67" s="2">
        <v>123.8</v>
      </c>
      <c r="F67" s="2">
        <v>118.1</v>
      </c>
      <c r="G67" s="2">
        <v>123.2</v>
      </c>
      <c r="H67" s="2">
        <v>107.9</v>
      </c>
      <c r="I67" s="2">
        <v>126.4</v>
      </c>
      <c r="J67" s="2">
        <v>156.80000000000001</v>
      </c>
      <c r="K67" s="2">
        <v>116.1</v>
      </c>
      <c r="L67" s="2">
        <v>103.1</v>
      </c>
      <c r="M67" s="2">
        <v>118.1</v>
      </c>
      <c r="N67" s="2">
        <v>116.1</v>
      </c>
      <c r="O67" s="2">
        <v>124.5</v>
      </c>
      <c r="P67" s="2">
        <v>125.4</v>
      </c>
      <c r="Q67" s="2">
        <v>121.1</v>
      </c>
      <c r="R67" s="2">
        <v>121.5</v>
      </c>
      <c r="S67" s="2">
        <v>118.1</v>
      </c>
      <c r="T67" s="2">
        <v>121</v>
      </c>
      <c r="U67" s="2">
        <v>116.7</v>
      </c>
      <c r="V67" s="2">
        <v>114.7</v>
      </c>
      <c r="W67" s="2">
        <v>116.7</v>
      </c>
      <c r="X67" s="2">
        <v>114.3</v>
      </c>
      <c r="Y67" s="2">
        <v>111.8</v>
      </c>
      <c r="Z67" s="2">
        <v>113.3</v>
      </c>
      <c r="AA67" s="2">
        <v>118.8</v>
      </c>
      <c r="AB67" s="2">
        <v>109.6</v>
      </c>
      <c r="AC67" s="2">
        <v>113.9</v>
      </c>
      <c r="AD67" s="2">
        <v>120.1</v>
      </c>
      <c r="AE67" s="2">
        <f t="shared" ref="AE67:AE130" si="10">SUM(D67:P67)</f>
        <v>1582.7</v>
      </c>
      <c r="AF67" s="2">
        <f t="shared" ref="AF67:AF130" si="11">SUM(R67:T67)</f>
        <v>360.6</v>
      </c>
      <c r="AG67" s="2">
        <f t="shared" ref="AG67:AG130" si="12">SUM(U67,W67)</f>
        <v>233.4</v>
      </c>
      <c r="AH67" s="2">
        <f t="shared" ref="AH67:AH130" si="13">SUM(V67)</f>
        <v>114.7</v>
      </c>
      <c r="AI67" s="2">
        <f t="shared" ref="AI67:AI130" si="14">SUM(X67:AC67,Q67)</f>
        <v>802.8</v>
      </c>
      <c r="AJ67" s="2">
        <f t="shared" ref="AJ67:AJ130" si="15">AVERAGE(D67:P67)</f>
        <v>121.74615384615385</v>
      </c>
      <c r="AK67" s="2">
        <f t="shared" ref="AK67:AK130" si="16">AVERAGE(R67:T67)</f>
        <v>120.2</v>
      </c>
      <c r="AL67" s="2">
        <f t="shared" ref="AL67:AL130" si="17">AVERAGE(U67,W67)</f>
        <v>116.7</v>
      </c>
      <c r="AM67" s="2">
        <f t="shared" ref="AM67:AM130" si="18">AVERAGE(V67)</f>
        <v>114.7</v>
      </c>
      <c r="AN67" s="2">
        <f t="shared" ref="AN67:AN130" si="19">AVERAGE(X67:AC67,Q67)</f>
        <v>114.68571428571428</v>
      </c>
    </row>
    <row r="68" spans="1:40" x14ac:dyDescent="0.3">
      <c r="A68" t="s">
        <v>30</v>
      </c>
      <c r="B68">
        <v>2014</v>
      </c>
      <c r="C68" t="s">
        <v>44</v>
      </c>
      <c r="D68" s="2">
        <v>122.7</v>
      </c>
      <c r="E68" s="2">
        <v>122.6</v>
      </c>
      <c r="F68" s="2">
        <v>119.9</v>
      </c>
      <c r="G68" s="2">
        <v>124</v>
      </c>
      <c r="H68" s="2">
        <v>110.5</v>
      </c>
      <c r="I68" s="2">
        <v>128.80000000000001</v>
      </c>
      <c r="J68" s="2">
        <v>152</v>
      </c>
      <c r="K68" s="2">
        <v>116.2</v>
      </c>
      <c r="L68" s="2">
        <v>103.3</v>
      </c>
      <c r="M68" s="2">
        <v>115.8</v>
      </c>
      <c r="N68" s="2">
        <v>116.8</v>
      </c>
      <c r="O68" s="2">
        <v>124.5</v>
      </c>
      <c r="P68" s="2">
        <v>124.9</v>
      </c>
      <c r="Q68" s="2">
        <v>120.8</v>
      </c>
      <c r="R68" s="2">
        <v>123.3</v>
      </c>
      <c r="S68" s="2">
        <v>120.5</v>
      </c>
      <c r="T68" s="2">
        <v>122.9</v>
      </c>
      <c r="U68" s="2">
        <f>AVERAGE(U69,U70)</f>
        <v>117.1</v>
      </c>
      <c r="V68" s="2">
        <v>117.3</v>
      </c>
      <c r="W68" s="2">
        <v>118.1</v>
      </c>
      <c r="X68" s="2">
        <v>115.9</v>
      </c>
      <c r="Y68" s="2">
        <v>112</v>
      </c>
      <c r="Z68" s="2">
        <v>113.3</v>
      </c>
      <c r="AA68" s="2">
        <v>117.2</v>
      </c>
      <c r="AB68" s="2">
        <v>108.8</v>
      </c>
      <c r="AC68" s="2">
        <v>114.1</v>
      </c>
      <c r="AD68" s="2">
        <v>121.1</v>
      </c>
      <c r="AE68" s="2">
        <f t="shared" si="10"/>
        <v>1582</v>
      </c>
      <c r="AF68" s="2">
        <f t="shared" si="11"/>
        <v>366.70000000000005</v>
      </c>
      <c r="AG68" s="2">
        <f t="shared" si="12"/>
        <v>235.2</v>
      </c>
      <c r="AH68" s="2">
        <f t="shared" si="13"/>
        <v>117.3</v>
      </c>
      <c r="AI68" s="2">
        <f t="shared" si="14"/>
        <v>802.09999999999991</v>
      </c>
      <c r="AJ68" s="2">
        <f t="shared" si="15"/>
        <v>121.69230769230769</v>
      </c>
      <c r="AK68" s="2">
        <f t="shared" si="16"/>
        <v>122.23333333333335</v>
      </c>
      <c r="AL68" s="2">
        <f t="shared" si="17"/>
        <v>117.6</v>
      </c>
      <c r="AM68" s="2">
        <f t="shared" si="18"/>
        <v>117.3</v>
      </c>
      <c r="AN68" s="2">
        <f t="shared" si="19"/>
        <v>114.58571428571427</v>
      </c>
    </row>
    <row r="69" spans="1:40" x14ac:dyDescent="0.3">
      <c r="A69" t="s">
        <v>32</v>
      </c>
      <c r="B69">
        <v>2014</v>
      </c>
      <c r="C69" t="s">
        <v>44</v>
      </c>
      <c r="D69" s="2">
        <v>124.5</v>
      </c>
      <c r="E69" s="2">
        <v>125.6</v>
      </c>
      <c r="F69" s="2">
        <v>122.7</v>
      </c>
      <c r="G69" s="2">
        <v>124.6</v>
      </c>
      <c r="H69" s="2">
        <v>103.2</v>
      </c>
      <c r="I69" s="2">
        <v>122.2</v>
      </c>
      <c r="J69" s="2">
        <v>153.19999999999999</v>
      </c>
      <c r="K69" s="2">
        <v>119.3</v>
      </c>
      <c r="L69" s="2">
        <v>99.8</v>
      </c>
      <c r="M69" s="2">
        <v>124.6</v>
      </c>
      <c r="N69" s="2">
        <v>115.8</v>
      </c>
      <c r="O69" s="2">
        <v>126.9</v>
      </c>
      <c r="P69" s="2">
        <v>125.4</v>
      </c>
      <c r="Q69" s="2">
        <v>125.8</v>
      </c>
      <c r="R69" s="2">
        <v>120.3</v>
      </c>
      <c r="S69" s="2">
        <v>115.4</v>
      </c>
      <c r="T69" s="2">
        <v>119.5</v>
      </c>
      <c r="U69" s="2">
        <v>117.1</v>
      </c>
      <c r="V69" s="2">
        <v>112.6</v>
      </c>
      <c r="W69" s="2">
        <v>116.4</v>
      </c>
      <c r="X69" s="2">
        <v>113</v>
      </c>
      <c r="Y69" s="2">
        <v>109.7</v>
      </c>
      <c r="Z69" s="2">
        <v>114</v>
      </c>
      <c r="AA69" s="2">
        <v>120.3</v>
      </c>
      <c r="AB69" s="2">
        <v>109.6</v>
      </c>
      <c r="AC69" s="2">
        <v>113.4</v>
      </c>
      <c r="AD69" s="2">
        <v>119</v>
      </c>
      <c r="AE69" s="2">
        <f t="shared" si="10"/>
        <v>1587.8</v>
      </c>
      <c r="AF69" s="2">
        <f t="shared" si="11"/>
        <v>355.2</v>
      </c>
      <c r="AG69" s="2">
        <f t="shared" si="12"/>
        <v>233.5</v>
      </c>
      <c r="AH69" s="2">
        <f t="shared" si="13"/>
        <v>112.6</v>
      </c>
      <c r="AI69" s="2">
        <f t="shared" si="14"/>
        <v>805.8</v>
      </c>
      <c r="AJ69" s="2">
        <f t="shared" si="15"/>
        <v>122.13846153846154</v>
      </c>
      <c r="AK69" s="2">
        <f t="shared" si="16"/>
        <v>118.39999999999999</v>
      </c>
      <c r="AL69" s="2">
        <f t="shared" si="17"/>
        <v>116.75</v>
      </c>
      <c r="AM69" s="2">
        <f t="shared" si="18"/>
        <v>112.6</v>
      </c>
      <c r="AN69" s="2">
        <f t="shared" si="19"/>
        <v>115.11428571428571</v>
      </c>
    </row>
    <row r="70" spans="1:40" x14ac:dyDescent="0.3">
      <c r="A70" t="s">
        <v>33</v>
      </c>
      <c r="B70">
        <v>2014</v>
      </c>
      <c r="C70" t="s">
        <v>44</v>
      </c>
      <c r="D70" s="2">
        <v>123.3</v>
      </c>
      <c r="E70" s="2">
        <v>123.7</v>
      </c>
      <c r="F70" s="2">
        <v>121</v>
      </c>
      <c r="G70" s="2">
        <v>124.2</v>
      </c>
      <c r="H70" s="2">
        <v>107.8</v>
      </c>
      <c r="I70" s="2">
        <v>125.7</v>
      </c>
      <c r="J70" s="2">
        <v>152.4</v>
      </c>
      <c r="K70" s="2">
        <v>117.2</v>
      </c>
      <c r="L70" s="2">
        <v>102.1</v>
      </c>
      <c r="M70" s="2">
        <v>118.7</v>
      </c>
      <c r="N70" s="2">
        <v>116.4</v>
      </c>
      <c r="O70" s="2">
        <v>125.6</v>
      </c>
      <c r="P70" s="2">
        <v>125.1</v>
      </c>
      <c r="Q70" s="2">
        <v>122.1</v>
      </c>
      <c r="R70" s="2">
        <v>122.1</v>
      </c>
      <c r="S70" s="2">
        <v>118.4</v>
      </c>
      <c r="T70" s="2">
        <v>121.6</v>
      </c>
      <c r="U70" s="2">
        <v>117.1</v>
      </c>
      <c r="V70" s="2">
        <v>115.5</v>
      </c>
      <c r="W70" s="2">
        <v>117.3</v>
      </c>
      <c r="X70" s="2">
        <v>114.8</v>
      </c>
      <c r="Y70" s="2">
        <v>110.8</v>
      </c>
      <c r="Z70" s="2">
        <v>113.7</v>
      </c>
      <c r="AA70" s="2">
        <v>119</v>
      </c>
      <c r="AB70" s="2">
        <v>109.1</v>
      </c>
      <c r="AC70" s="2">
        <v>113.8</v>
      </c>
      <c r="AD70" s="2">
        <v>120.1</v>
      </c>
      <c r="AE70" s="2">
        <f t="shared" si="10"/>
        <v>1583.2</v>
      </c>
      <c r="AF70" s="2">
        <f t="shared" si="11"/>
        <v>362.1</v>
      </c>
      <c r="AG70" s="2">
        <f t="shared" si="12"/>
        <v>234.39999999999998</v>
      </c>
      <c r="AH70" s="2">
        <f t="shared" si="13"/>
        <v>115.5</v>
      </c>
      <c r="AI70" s="2">
        <f t="shared" si="14"/>
        <v>803.3</v>
      </c>
      <c r="AJ70" s="2">
        <f t="shared" si="15"/>
        <v>121.78461538461539</v>
      </c>
      <c r="AK70" s="2">
        <f t="shared" si="16"/>
        <v>120.7</v>
      </c>
      <c r="AL70" s="2">
        <f t="shared" si="17"/>
        <v>117.19999999999999</v>
      </c>
      <c r="AM70" s="2">
        <f t="shared" si="18"/>
        <v>115.5</v>
      </c>
      <c r="AN70" s="2">
        <f t="shared" si="19"/>
        <v>114.75714285714285</v>
      </c>
    </row>
    <row r="71" spans="1:40" x14ac:dyDescent="0.3">
      <c r="A71" t="s">
        <v>30</v>
      </c>
      <c r="B71">
        <v>2014</v>
      </c>
      <c r="C71" t="s">
        <v>45</v>
      </c>
      <c r="D71" s="2">
        <v>122.4</v>
      </c>
      <c r="E71" s="2">
        <v>122.4</v>
      </c>
      <c r="F71" s="2">
        <v>121.8</v>
      </c>
      <c r="G71" s="2">
        <v>124.2</v>
      </c>
      <c r="H71" s="2">
        <v>110.2</v>
      </c>
      <c r="I71" s="2">
        <v>128.6</v>
      </c>
      <c r="J71" s="2">
        <v>140.30000000000001</v>
      </c>
      <c r="K71" s="2">
        <v>116.3</v>
      </c>
      <c r="L71" s="2">
        <v>102</v>
      </c>
      <c r="M71" s="2">
        <v>116</v>
      </c>
      <c r="N71" s="2">
        <v>117.3</v>
      </c>
      <c r="O71" s="2">
        <v>124.8</v>
      </c>
      <c r="P71" s="2">
        <v>123.3</v>
      </c>
      <c r="Q71" s="2">
        <v>121.7</v>
      </c>
      <c r="R71" s="2">
        <v>123.8</v>
      </c>
      <c r="S71" s="2">
        <v>120.6</v>
      </c>
      <c r="T71" s="2">
        <v>123.3</v>
      </c>
      <c r="U71" s="2">
        <f>AVERAGE(U72,U73)</f>
        <v>116.5</v>
      </c>
      <c r="V71" s="2">
        <v>117.4</v>
      </c>
      <c r="W71" s="2">
        <v>118.2</v>
      </c>
      <c r="X71" s="2">
        <v>116.2</v>
      </c>
      <c r="Y71" s="2">
        <v>111.5</v>
      </c>
      <c r="Z71" s="2">
        <v>113.3</v>
      </c>
      <c r="AA71" s="2">
        <v>117.7</v>
      </c>
      <c r="AB71" s="2">
        <v>109.4</v>
      </c>
      <c r="AC71" s="2">
        <v>114.2</v>
      </c>
      <c r="AD71" s="2">
        <v>120.3</v>
      </c>
      <c r="AE71" s="2">
        <f t="shared" si="10"/>
        <v>1569.6</v>
      </c>
      <c r="AF71" s="2">
        <f t="shared" si="11"/>
        <v>367.7</v>
      </c>
      <c r="AG71" s="2">
        <f t="shared" si="12"/>
        <v>234.7</v>
      </c>
      <c r="AH71" s="2">
        <f t="shared" si="13"/>
        <v>117.4</v>
      </c>
      <c r="AI71" s="2">
        <f t="shared" si="14"/>
        <v>804.00000000000011</v>
      </c>
      <c r="AJ71" s="2">
        <f t="shared" si="15"/>
        <v>120.73846153846154</v>
      </c>
      <c r="AK71" s="2">
        <f t="shared" si="16"/>
        <v>122.56666666666666</v>
      </c>
      <c r="AL71" s="2">
        <f t="shared" si="17"/>
        <v>117.35</v>
      </c>
      <c r="AM71" s="2">
        <f t="shared" si="18"/>
        <v>117.4</v>
      </c>
      <c r="AN71" s="2">
        <f t="shared" si="19"/>
        <v>114.85714285714288</v>
      </c>
    </row>
    <row r="72" spans="1:40" x14ac:dyDescent="0.3">
      <c r="A72" t="s">
        <v>32</v>
      </c>
      <c r="B72">
        <v>2014</v>
      </c>
      <c r="C72" t="s">
        <v>45</v>
      </c>
      <c r="D72" s="2">
        <v>124</v>
      </c>
      <c r="E72" s="2">
        <v>124.7</v>
      </c>
      <c r="F72" s="2">
        <v>126.3</v>
      </c>
      <c r="G72" s="2">
        <v>124.9</v>
      </c>
      <c r="H72" s="2">
        <v>103</v>
      </c>
      <c r="I72" s="2">
        <v>122.3</v>
      </c>
      <c r="J72" s="2">
        <v>141</v>
      </c>
      <c r="K72" s="2">
        <v>120.1</v>
      </c>
      <c r="L72" s="2">
        <v>97.8</v>
      </c>
      <c r="M72" s="2">
        <v>125.4</v>
      </c>
      <c r="N72" s="2">
        <v>116.1</v>
      </c>
      <c r="O72" s="2">
        <v>127.6</v>
      </c>
      <c r="P72" s="2">
        <v>124</v>
      </c>
      <c r="Q72" s="2">
        <v>126.4</v>
      </c>
      <c r="R72" s="2">
        <v>120.7</v>
      </c>
      <c r="S72" s="2">
        <v>115.8</v>
      </c>
      <c r="T72" s="2">
        <v>120</v>
      </c>
      <c r="U72" s="2">
        <v>116.5</v>
      </c>
      <c r="V72" s="2">
        <v>113</v>
      </c>
      <c r="W72" s="2">
        <v>116.8</v>
      </c>
      <c r="X72" s="2">
        <v>113.2</v>
      </c>
      <c r="Y72" s="2">
        <v>108.8</v>
      </c>
      <c r="Z72" s="2">
        <v>114.3</v>
      </c>
      <c r="AA72" s="2">
        <v>120.7</v>
      </c>
      <c r="AB72" s="2">
        <v>110.4</v>
      </c>
      <c r="AC72" s="2">
        <v>113.4</v>
      </c>
      <c r="AD72" s="2">
        <v>118.4</v>
      </c>
      <c r="AE72" s="2">
        <f t="shared" si="10"/>
        <v>1577.1999999999998</v>
      </c>
      <c r="AF72" s="2">
        <f t="shared" si="11"/>
        <v>356.5</v>
      </c>
      <c r="AG72" s="2">
        <f t="shared" si="12"/>
        <v>233.3</v>
      </c>
      <c r="AH72" s="2">
        <f t="shared" si="13"/>
        <v>113</v>
      </c>
      <c r="AI72" s="2">
        <f t="shared" si="14"/>
        <v>807.19999999999993</v>
      </c>
      <c r="AJ72" s="2">
        <f t="shared" si="15"/>
        <v>121.32307692307691</v>
      </c>
      <c r="AK72" s="2">
        <f t="shared" si="16"/>
        <v>118.83333333333333</v>
      </c>
      <c r="AL72" s="2">
        <f t="shared" si="17"/>
        <v>116.65</v>
      </c>
      <c r="AM72" s="2">
        <f t="shared" si="18"/>
        <v>113</v>
      </c>
      <c r="AN72" s="2">
        <f t="shared" si="19"/>
        <v>115.3142857142857</v>
      </c>
    </row>
    <row r="73" spans="1:40" x14ac:dyDescent="0.3">
      <c r="A73" t="s">
        <v>33</v>
      </c>
      <c r="B73">
        <v>2014</v>
      </c>
      <c r="C73" t="s">
        <v>45</v>
      </c>
      <c r="D73" s="2">
        <v>122.9</v>
      </c>
      <c r="E73" s="2">
        <v>123.2</v>
      </c>
      <c r="F73" s="2">
        <v>123.5</v>
      </c>
      <c r="G73" s="2">
        <v>124.5</v>
      </c>
      <c r="H73" s="2">
        <v>107.6</v>
      </c>
      <c r="I73" s="2">
        <v>125.7</v>
      </c>
      <c r="J73" s="2">
        <v>140.5</v>
      </c>
      <c r="K73" s="2">
        <v>117.6</v>
      </c>
      <c r="L73" s="2">
        <v>100.6</v>
      </c>
      <c r="M73" s="2">
        <v>119.1</v>
      </c>
      <c r="N73" s="2">
        <v>116.8</v>
      </c>
      <c r="O73" s="2">
        <v>126.1</v>
      </c>
      <c r="P73" s="2">
        <v>123.6</v>
      </c>
      <c r="Q73" s="2">
        <v>123</v>
      </c>
      <c r="R73" s="2">
        <v>122.6</v>
      </c>
      <c r="S73" s="2">
        <v>118.6</v>
      </c>
      <c r="T73" s="2">
        <v>122</v>
      </c>
      <c r="U73" s="2">
        <v>116.5</v>
      </c>
      <c r="V73" s="2">
        <v>115.7</v>
      </c>
      <c r="W73" s="2">
        <v>117.5</v>
      </c>
      <c r="X73" s="2">
        <v>115.1</v>
      </c>
      <c r="Y73" s="2">
        <v>110.1</v>
      </c>
      <c r="Z73" s="2">
        <v>113.9</v>
      </c>
      <c r="AA73" s="2">
        <v>119.5</v>
      </c>
      <c r="AB73" s="2">
        <v>109.8</v>
      </c>
      <c r="AC73" s="2">
        <v>113.8</v>
      </c>
      <c r="AD73" s="2">
        <v>119.4</v>
      </c>
      <c r="AE73" s="2">
        <f t="shared" si="10"/>
        <v>1571.6999999999998</v>
      </c>
      <c r="AF73" s="2">
        <f t="shared" si="11"/>
        <v>363.2</v>
      </c>
      <c r="AG73" s="2">
        <f t="shared" si="12"/>
        <v>234</v>
      </c>
      <c r="AH73" s="2">
        <f t="shared" si="13"/>
        <v>115.7</v>
      </c>
      <c r="AI73" s="2">
        <f t="shared" si="14"/>
        <v>805.19999999999993</v>
      </c>
      <c r="AJ73" s="2">
        <f t="shared" si="15"/>
        <v>120.89999999999999</v>
      </c>
      <c r="AK73" s="2">
        <f t="shared" si="16"/>
        <v>121.06666666666666</v>
      </c>
      <c r="AL73" s="2">
        <f t="shared" si="17"/>
        <v>117</v>
      </c>
      <c r="AM73" s="2">
        <f t="shared" si="18"/>
        <v>115.7</v>
      </c>
      <c r="AN73" s="2">
        <f t="shared" si="19"/>
        <v>115.02857142857142</v>
      </c>
    </row>
    <row r="74" spans="1:40" x14ac:dyDescent="0.3">
      <c r="A74" t="s">
        <v>30</v>
      </c>
      <c r="B74">
        <v>2015</v>
      </c>
      <c r="C74" t="s">
        <v>31</v>
      </c>
      <c r="D74" s="2">
        <v>123.1</v>
      </c>
      <c r="E74" s="2">
        <v>123.1</v>
      </c>
      <c r="F74" s="2">
        <v>122.1</v>
      </c>
      <c r="G74" s="2">
        <v>124.9</v>
      </c>
      <c r="H74" s="2">
        <v>111</v>
      </c>
      <c r="I74" s="2">
        <v>130.4</v>
      </c>
      <c r="J74" s="2">
        <v>132.30000000000001</v>
      </c>
      <c r="K74" s="2">
        <v>117.2</v>
      </c>
      <c r="L74" s="2">
        <v>100.5</v>
      </c>
      <c r="M74" s="2">
        <v>117.2</v>
      </c>
      <c r="N74" s="2">
        <v>117.9</v>
      </c>
      <c r="O74" s="2">
        <v>125.6</v>
      </c>
      <c r="P74" s="2">
        <v>122.8</v>
      </c>
      <c r="Q74" s="2">
        <v>122.7</v>
      </c>
      <c r="R74" s="2">
        <v>124.4</v>
      </c>
      <c r="S74" s="2">
        <v>121.6</v>
      </c>
      <c r="T74" s="2">
        <v>124</v>
      </c>
      <c r="U74" s="2">
        <f>AVERAGE(U75,U76)</f>
        <v>117.3</v>
      </c>
      <c r="V74" s="2">
        <v>118.4</v>
      </c>
      <c r="W74" s="2">
        <v>118.9</v>
      </c>
      <c r="X74" s="2">
        <v>116.6</v>
      </c>
      <c r="Y74" s="2">
        <v>111</v>
      </c>
      <c r="Z74" s="2">
        <v>114</v>
      </c>
      <c r="AA74" s="2">
        <v>118.2</v>
      </c>
      <c r="AB74" s="2">
        <v>110.2</v>
      </c>
      <c r="AC74" s="2">
        <v>114.5</v>
      </c>
      <c r="AD74" s="2">
        <v>120.3</v>
      </c>
      <c r="AE74" s="2">
        <f t="shared" si="10"/>
        <v>1568.1</v>
      </c>
      <c r="AF74" s="2">
        <f t="shared" si="11"/>
        <v>370</v>
      </c>
      <c r="AG74" s="2">
        <f t="shared" si="12"/>
        <v>236.2</v>
      </c>
      <c r="AH74" s="2">
        <f t="shared" si="13"/>
        <v>118.4</v>
      </c>
      <c r="AI74" s="2">
        <f t="shared" si="14"/>
        <v>807.2</v>
      </c>
      <c r="AJ74" s="2">
        <f t="shared" si="15"/>
        <v>120.62307692307692</v>
      </c>
      <c r="AK74" s="2">
        <f t="shared" si="16"/>
        <v>123.33333333333333</v>
      </c>
      <c r="AL74" s="2">
        <f t="shared" si="17"/>
        <v>118.1</v>
      </c>
      <c r="AM74" s="2">
        <f t="shared" si="18"/>
        <v>118.4</v>
      </c>
      <c r="AN74" s="2">
        <f t="shared" si="19"/>
        <v>115.31428571428572</v>
      </c>
    </row>
    <row r="75" spans="1:40" x14ac:dyDescent="0.3">
      <c r="A75" t="s">
        <v>32</v>
      </c>
      <c r="B75">
        <v>2015</v>
      </c>
      <c r="C75" t="s">
        <v>31</v>
      </c>
      <c r="D75" s="2">
        <v>124</v>
      </c>
      <c r="E75" s="2">
        <v>125.5</v>
      </c>
      <c r="F75" s="2">
        <v>126.6</v>
      </c>
      <c r="G75" s="2">
        <v>125.2</v>
      </c>
      <c r="H75" s="2">
        <v>104.3</v>
      </c>
      <c r="I75" s="2">
        <v>121.3</v>
      </c>
      <c r="J75" s="2">
        <v>134.4</v>
      </c>
      <c r="K75" s="2">
        <v>122.9</v>
      </c>
      <c r="L75" s="2">
        <v>96.1</v>
      </c>
      <c r="M75" s="2">
        <v>126.6</v>
      </c>
      <c r="N75" s="2">
        <v>116.5</v>
      </c>
      <c r="O75" s="2">
        <v>128</v>
      </c>
      <c r="P75" s="2">
        <v>123.5</v>
      </c>
      <c r="Q75" s="2">
        <v>127.4</v>
      </c>
      <c r="R75" s="2">
        <v>121</v>
      </c>
      <c r="S75" s="2">
        <v>116.1</v>
      </c>
      <c r="T75" s="2">
        <v>120.2</v>
      </c>
      <c r="U75" s="2">
        <v>117.3</v>
      </c>
      <c r="V75" s="2">
        <v>113.4</v>
      </c>
      <c r="W75" s="2">
        <v>117.2</v>
      </c>
      <c r="X75" s="2">
        <v>113.7</v>
      </c>
      <c r="Y75" s="2">
        <v>107.9</v>
      </c>
      <c r="Z75" s="2">
        <v>114.6</v>
      </c>
      <c r="AA75" s="2">
        <v>120.8</v>
      </c>
      <c r="AB75" s="2">
        <v>111.4</v>
      </c>
      <c r="AC75" s="2">
        <v>113.4</v>
      </c>
      <c r="AD75" s="2">
        <v>118.5</v>
      </c>
      <c r="AE75" s="2">
        <f t="shared" si="10"/>
        <v>1574.8999999999999</v>
      </c>
      <c r="AF75" s="2">
        <f t="shared" si="11"/>
        <v>357.3</v>
      </c>
      <c r="AG75" s="2">
        <f t="shared" si="12"/>
        <v>234.5</v>
      </c>
      <c r="AH75" s="2">
        <f t="shared" si="13"/>
        <v>113.4</v>
      </c>
      <c r="AI75" s="2">
        <f t="shared" si="14"/>
        <v>809.2</v>
      </c>
      <c r="AJ75" s="2">
        <f t="shared" si="15"/>
        <v>121.14615384615384</v>
      </c>
      <c r="AK75" s="2">
        <f t="shared" si="16"/>
        <v>119.10000000000001</v>
      </c>
      <c r="AL75" s="2">
        <f t="shared" si="17"/>
        <v>117.25</v>
      </c>
      <c r="AM75" s="2">
        <f t="shared" si="18"/>
        <v>113.4</v>
      </c>
      <c r="AN75" s="2">
        <f t="shared" si="19"/>
        <v>115.60000000000001</v>
      </c>
    </row>
    <row r="76" spans="1:40" x14ac:dyDescent="0.3">
      <c r="A76" t="s">
        <v>33</v>
      </c>
      <c r="B76">
        <v>2015</v>
      </c>
      <c r="C76" t="s">
        <v>31</v>
      </c>
      <c r="D76" s="2">
        <v>123.4</v>
      </c>
      <c r="E76" s="2">
        <v>123.9</v>
      </c>
      <c r="F76" s="2">
        <v>123.8</v>
      </c>
      <c r="G76" s="2">
        <v>125</v>
      </c>
      <c r="H76" s="2">
        <v>108.5</v>
      </c>
      <c r="I76" s="2">
        <v>126.2</v>
      </c>
      <c r="J76" s="2">
        <v>133</v>
      </c>
      <c r="K76" s="2">
        <v>119.1</v>
      </c>
      <c r="L76" s="2">
        <v>99</v>
      </c>
      <c r="M76" s="2">
        <v>120.3</v>
      </c>
      <c r="N76" s="2">
        <v>117.3</v>
      </c>
      <c r="O76" s="2">
        <v>126.7</v>
      </c>
      <c r="P76" s="2">
        <v>123.1</v>
      </c>
      <c r="Q76" s="2">
        <v>124</v>
      </c>
      <c r="R76" s="2">
        <v>123.1</v>
      </c>
      <c r="S76" s="2">
        <v>119.3</v>
      </c>
      <c r="T76" s="2">
        <v>122.5</v>
      </c>
      <c r="U76" s="2">
        <v>117.3</v>
      </c>
      <c r="V76" s="2">
        <v>116.5</v>
      </c>
      <c r="W76" s="2">
        <v>118.1</v>
      </c>
      <c r="X76" s="2">
        <v>115.5</v>
      </c>
      <c r="Y76" s="2">
        <v>109.4</v>
      </c>
      <c r="Z76" s="2">
        <v>114.3</v>
      </c>
      <c r="AA76" s="2">
        <v>119.7</v>
      </c>
      <c r="AB76" s="2">
        <v>110.7</v>
      </c>
      <c r="AC76" s="2">
        <v>114</v>
      </c>
      <c r="AD76" s="2">
        <v>119.5</v>
      </c>
      <c r="AE76" s="2">
        <f t="shared" si="10"/>
        <v>1569.3</v>
      </c>
      <c r="AF76" s="2">
        <f t="shared" si="11"/>
        <v>364.9</v>
      </c>
      <c r="AG76" s="2">
        <f t="shared" si="12"/>
        <v>235.39999999999998</v>
      </c>
      <c r="AH76" s="2">
        <f t="shared" si="13"/>
        <v>116.5</v>
      </c>
      <c r="AI76" s="2">
        <f t="shared" si="14"/>
        <v>807.6</v>
      </c>
      <c r="AJ76" s="2">
        <f t="shared" si="15"/>
        <v>120.71538461538461</v>
      </c>
      <c r="AK76" s="2">
        <f t="shared" si="16"/>
        <v>121.63333333333333</v>
      </c>
      <c r="AL76" s="2">
        <f t="shared" si="17"/>
        <v>117.69999999999999</v>
      </c>
      <c r="AM76" s="2">
        <f t="shared" si="18"/>
        <v>116.5</v>
      </c>
      <c r="AN76" s="2">
        <f t="shared" si="19"/>
        <v>115.37142857142858</v>
      </c>
    </row>
    <row r="77" spans="1:40" x14ac:dyDescent="0.3">
      <c r="A77" t="s">
        <v>30</v>
      </c>
      <c r="B77">
        <v>2015</v>
      </c>
      <c r="C77" t="s">
        <v>34</v>
      </c>
      <c r="D77" s="2">
        <v>123.4</v>
      </c>
      <c r="E77" s="2">
        <v>124.4</v>
      </c>
      <c r="F77" s="2">
        <v>122.1</v>
      </c>
      <c r="G77" s="2">
        <v>125.8</v>
      </c>
      <c r="H77" s="2">
        <v>111.5</v>
      </c>
      <c r="I77" s="2">
        <v>129.4</v>
      </c>
      <c r="J77" s="2">
        <v>128.19999999999999</v>
      </c>
      <c r="K77" s="2">
        <v>118.8</v>
      </c>
      <c r="L77" s="2">
        <v>100</v>
      </c>
      <c r="M77" s="2">
        <v>118.6</v>
      </c>
      <c r="N77" s="2">
        <v>118.8</v>
      </c>
      <c r="O77" s="2">
        <v>126.8</v>
      </c>
      <c r="P77" s="2">
        <v>122.8</v>
      </c>
      <c r="Q77" s="2">
        <v>124.2</v>
      </c>
      <c r="R77" s="2">
        <v>125.4</v>
      </c>
      <c r="S77" s="2">
        <v>122.7</v>
      </c>
      <c r="T77" s="2">
        <v>125</v>
      </c>
      <c r="U77" s="2">
        <f>AVERAGE(U78,U79)</f>
        <v>118.1</v>
      </c>
      <c r="V77" s="2">
        <v>120</v>
      </c>
      <c r="W77" s="2">
        <v>119.6</v>
      </c>
      <c r="X77" s="2">
        <v>117.7</v>
      </c>
      <c r="Y77" s="2">
        <v>110.9</v>
      </c>
      <c r="Z77" s="2">
        <v>114.8</v>
      </c>
      <c r="AA77" s="2">
        <v>118.7</v>
      </c>
      <c r="AB77" s="2">
        <v>110.8</v>
      </c>
      <c r="AC77" s="2">
        <v>115</v>
      </c>
      <c r="AD77" s="2">
        <v>120.6</v>
      </c>
      <c r="AE77" s="2">
        <f t="shared" si="10"/>
        <v>1570.5999999999997</v>
      </c>
      <c r="AF77" s="2">
        <f t="shared" si="11"/>
        <v>373.1</v>
      </c>
      <c r="AG77" s="2">
        <f t="shared" si="12"/>
        <v>237.7</v>
      </c>
      <c r="AH77" s="2">
        <f t="shared" si="13"/>
        <v>120</v>
      </c>
      <c r="AI77" s="2">
        <f t="shared" si="14"/>
        <v>812.1</v>
      </c>
      <c r="AJ77" s="2">
        <f t="shared" si="15"/>
        <v>120.81538461538459</v>
      </c>
      <c r="AK77" s="2">
        <f t="shared" si="16"/>
        <v>124.36666666666667</v>
      </c>
      <c r="AL77" s="2">
        <f t="shared" si="17"/>
        <v>118.85</v>
      </c>
      <c r="AM77" s="2">
        <f t="shared" si="18"/>
        <v>120</v>
      </c>
      <c r="AN77" s="2">
        <f t="shared" si="19"/>
        <v>116.01428571428572</v>
      </c>
    </row>
    <row r="78" spans="1:40" x14ac:dyDescent="0.3">
      <c r="A78" t="s">
        <v>32</v>
      </c>
      <c r="B78">
        <v>2015</v>
      </c>
      <c r="C78" t="s">
        <v>34</v>
      </c>
      <c r="D78" s="2">
        <v>124.3</v>
      </c>
      <c r="E78" s="2">
        <v>126.5</v>
      </c>
      <c r="F78" s="2">
        <v>119.5</v>
      </c>
      <c r="G78" s="2">
        <v>125.6</v>
      </c>
      <c r="H78" s="2">
        <v>104.9</v>
      </c>
      <c r="I78" s="2">
        <v>121.6</v>
      </c>
      <c r="J78" s="2">
        <v>131.80000000000001</v>
      </c>
      <c r="K78" s="2">
        <v>125.1</v>
      </c>
      <c r="L78" s="2">
        <v>95</v>
      </c>
      <c r="M78" s="2">
        <v>127.7</v>
      </c>
      <c r="N78" s="2">
        <v>116.8</v>
      </c>
      <c r="O78" s="2">
        <v>128.6</v>
      </c>
      <c r="P78" s="2">
        <v>123.7</v>
      </c>
      <c r="Q78" s="2">
        <v>128.1</v>
      </c>
      <c r="R78" s="2">
        <v>121.3</v>
      </c>
      <c r="S78" s="2">
        <v>116.5</v>
      </c>
      <c r="T78" s="2">
        <v>120.6</v>
      </c>
      <c r="U78" s="2">
        <v>118.1</v>
      </c>
      <c r="V78" s="2">
        <v>114</v>
      </c>
      <c r="W78" s="2">
        <v>117.7</v>
      </c>
      <c r="X78" s="2">
        <v>114.1</v>
      </c>
      <c r="Y78" s="2">
        <v>106.8</v>
      </c>
      <c r="Z78" s="2">
        <v>114.9</v>
      </c>
      <c r="AA78" s="2">
        <v>120.4</v>
      </c>
      <c r="AB78" s="2">
        <v>111.7</v>
      </c>
      <c r="AC78" s="2">
        <v>113.2</v>
      </c>
      <c r="AD78" s="2">
        <v>118.7</v>
      </c>
      <c r="AE78" s="2">
        <f t="shared" si="10"/>
        <v>1571.1000000000001</v>
      </c>
      <c r="AF78" s="2">
        <f t="shared" si="11"/>
        <v>358.4</v>
      </c>
      <c r="AG78" s="2">
        <f t="shared" si="12"/>
        <v>235.8</v>
      </c>
      <c r="AH78" s="2">
        <f t="shared" si="13"/>
        <v>114</v>
      </c>
      <c r="AI78" s="2">
        <f t="shared" si="14"/>
        <v>809.2</v>
      </c>
      <c r="AJ78" s="2">
        <f t="shared" si="15"/>
        <v>120.85384615384616</v>
      </c>
      <c r="AK78" s="2">
        <f t="shared" si="16"/>
        <v>119.46666666666665</v>
      </c>
      <c r="AL78" s="2">
        <f t="shared" si="17"/>
        <v>117.9</v>
      </c>
      <c r="AM78" s="2">
        <f t="shared" si="18"/>
        <v>114</v>
      </c>
      <c r="AN78" s="2">
        <f t="shared" si="19"/>
        <v>115.60000000000001</v>
      </c>
    </row>
    <row r="79" spans="1:40" x14ac:dyDescent="0.3">
      <c r="A79" t="s">
        <v>33</v>
      </c>
      <c r="B79">
        <v>2015</v>
      </c>
      <c r="C79" t="s">
        <v>34</v>
      </c>
      <c r="D79" s="2">
        <v>123.7</v>
      </c>
      <c r="E79" s="2">
        <v>125.1</v>
      </c>
      <c r="F79" s="2">
        <v>121.1</v>
      </c>
      <c r="G79" s="2">
        <v>125.7</v>
      </c>
      <c r="H79" s="2">
        <v>109.1</v>
      </c>
      <c r="I79" s="2">
        <v>125.8</v>
      </c>
      <c r="J79" s="2">
        <v>129.4</v>
      </c>
      <c r="K79" s="2">
        <v>120.9</v>
      </c>
      <c r="L79" s="2">
        <v>98.3</v>
      </c>
      <c r="M79" s="2">
        <v>121.6</v>
      </c>
      <c r="N79" s="2">
        <v>118</v>
      </c>
      <c r="O79" s="2">
        <v>127.6</v>
      </c>
      <c r="P79" s="2">
        <v>123.1</v>
      </c>
      <c r="Q79" s="2">
        <v>125.2</v>
      </c>
      <c r="R79" s="2">
        <v>123.8</v>
      </c>
      <c r="S79" s="2">
        <v>120.1</v>
      </c>
      <c r="T79" s="2">
        <v>123.3</v>
      </c>
      <c r="U79" s="2">
        <v>118.1</v>
      </c>
      <c r="V79" s="2">
        <v>117.7</v>
      </c>
      <c r="W79" s="2">
        <v>118.7</v>
      </c>
      <c r="X79" s="2">
        <v>116.3</v>
      </c>
      <c r="Y79" s="2">
        <v>108.7</v>
      </c>
      <c r="Z79" s="2">
        <v>114.9</v>
      </c>
      <c r="AA79" s="2">
        <v>119.7</v>
      </c>
      <c r="AB79" s="2">
        <v>111.2</v>
      </c>
      <c r="AC79" s="2">
        <v>114.1</v>
      </c>
      <c r="AD79" s="2">
        <v>119.7</v>
      </c>
      <c r="AE79" s="2">
        <f t="shared" si="10"/>
        <v>1569.3999999999996</v>
      </c>
      <c r="AF79" s="2">
        <f t="shared" si="11"/>
        <v>367.2</v>
      </c>
      <c r="AG79" s="2">
        <f t="shared" si="12"/>
        <v>236.8</v>
      </c>
      <c r="AH79" s="2">
        <f t="shared" si="13"/>
        <v>117.7</v>
      </c>
      <c r="AI79" s="2">
        <f t="shared" si="14"/>
        <v>810.1</v>
      </c>
      <c r="AJ79" s="2">
        <f t="shared" si="15"/>
        <v>120.72307692307689</v>
      </c>
      <c r="AK79" s="2">
        <f t="shared" si="16"/>
        <v>122.39999999999999</v>
      </c>
      <c r="AL79" s="2">
        <f t="shared" si="17"/>
        <v>118.4</v>
      </c>
      <c r="AM79" s="2">
        <f t="shared" si="18"/>
        <v>117.7</v>
      </c>
      <c r="AN79" s="2">
        <f t="shared" si="19"/>
        <v>115.72857142857143</v>
      </c>
    </row>
    <row r="80" spans="1:40" x14ac:dyDescent="0.3">
      <c r="A80" t="s">
        <v>30</v>
      </c>
      <c r="B80">
        <v>2015</v>
      </c>
      <c r="C80" t="s">
        <v>35</v>
      </c>
      <c r="D80" s="2">
        <v>123.3</v>
      </c>
      <c r="E80" s="2">
        <v>124.7</v>
      </c>
      <c r="F80" s="2">
        <v>118.9</v>
      </c>
      <c r="G80" s="2">
        <v>126</v>
      </c>
      <c r="H80" s="2">
        <v>111.8</v>
      </c>
      <c r="I80" s="2">
        <v>130.9</v>
      </c>
      <c r="J80" s="2">
        <v>128</v>
      </c>
      <c r="K80" s="2">
        <v>119.9</v>
      </c>
      <c r="L80" s="2">
        <v>98.9</v>
      </c>
      <c r="M80" s="2">
        <v>119.4</v>
      </c>
      <c r="N80" s="2">
        <v>118.9</v>
      </c>
      <c r="O80" s="2">
        <v>127.7</v>
      </c>
      <c r="P80" s="2">
        <v>123.1</v>
      </c>
      <c r="Q80" s="2">
        <v>124.7</v>
      </c>
      <c r="R80" s="2">
        <v>126</v>
      </c>
      <c r="S80" s="2">
        <v>122.9</v>
      </c>
      <c r="T80" s="2">
        <v>125.5</v>
      </c>
      <c r="U80" s="2">
        <f>AVERAGE(U81,U82)</f>
        <v>118.6</v>
      </c>
      <c r="V80" s="2">
        <v>120.6</v>
      </c>
      <c r="W80" s="2">
        <v>120.2</v>
      </c>
      <c r="X80" s="2">
        <v>118.2</v>
      </c>
      <c r="Y80" s="2">
        <v>111.6</v>
      </c>
      <c r="Z80" s="2">
        <v>115.5</v>
      </c>
      <c r="AA80" s="2">
        <v>119.4</v>
      </c>
      <c r="AB80" s="2">
        <v>110.8</v>
      </c>
      <c r="AC80" s="2">
        <v>115.5</v>
      </c>
      <c r="AD80" s="2">
        <v>121.1</v>
      </c>
      <c r="AE80" s="2">
        <f t="shared" si="10"/>
        <v>1571.5</v>
      </c>
      <c r="AF80" s="2">
        <f t="shared" si="11"/>
        <v>374.4</v>
      </c>
      <c r="AG80" s="2">
        <f t="shared" si="12"/>
        <v>238.8</v>
      </c>
      <c r="AH80" s="2">
        <f t="shared" si="13"/>
        <v>120.6</v>
      </c>
      <c r="AI80" s="2">
        <f t="shared" si="14"/>
        <v>815.7</v>
      </c>
      <c r="AJ80" s="2">
        <f t="shared" si="15"/>
        <v>120.88461538461539</v>
      </c>
      <c r="AK80" s="2">
        <f t="shared" si="16"/>
        <v>124.8</v>
      </c>
      <c r="AL80" s="2">
        <f t="shared" si="17"/>
        <v>119.4</v>
      </c>
      <c r="AM80" s="2">
        <f t="shared" si="18"/>
        <v>120.6</v>
      </c>
      <c r="AN80" s="2">
        <f t="shared" si="19"/>
        <v>116.52857142857144</v>
      </c>
    </row>
    <row r="81" spans="1:40" x14ac:dyDescent="0.3">
      <c r="A81" t="s">
        <v>32</v>
      </c>
      <c r="B81">
        <v>2015</v>
      </c>
      <c r="C81" t="s">
        <v>35</v>
      </c>
      <c r="D81" s="2">
        <v>124</v>
      </c>
      <c r="E81" s="2">
        <v>126.7</v>
      </c>
      <c r="F81" s="2">
        <v>113.5</v>
      </c>
      <c r="G81" s="2">
        <v>125.9</v>
      </c>
      <c r="H81" s="2">
        <v>104.8</v>
      </c>
      <c r="I81" s="2">
        <v>123.8</v>
      </c>
      <c r="J81" s="2">
        <v>131.4</v>
      </c>
      <c r="K81" s="2">
        <v>127.2</v>
      </c>
      <c r="L81" s="2">
        <v>93.2</v>
      </c>
      <c r="M81" s="2">
        <v>127.4</v>
      </c>
      <c r="N81" s="2">
        <v>117</v>
      </c>
      <c r="O81" s="2">
        <v>129.19999999999999</v>
      </c>
      <c r="P81" s="2">
        <v>123.9</v>
      </c>
      <c r="Q81" s="2">
        <v>128.80000000000001</v>
      </c>
      <c r="R81" s="2">
        <v>121.7</v>
      </c>
      <c r="S81" s="2">
        <v>116.9</v>
      </c>
      <c r="T81" s="2">
        <v>120.9</v>
      </c>
      <c r="U81" s="2">
        <v>118.6</v>
      </c>
      <c r="V81" s="2">
        <v>114.4</v>
      </c>
      <c r="W81" s="2">
        <v>118</v>
      </c>
      <c r="X81" s="2">
        <v>114.3</v>
      </c>
      <c r="Y81" s="2">
        <v>108.4</v>
      </c>
      <c r="Z81" s="2">
        <v>115.4</v>
      </c>
      <c r="AA81" s="2">
        <v>120.6</v>
      </c>
      <c r="AB81" s="2">
        <v>111.3</v>
      </c>
      <c r="AC81" s="2">
        <v>113.8</v>
      </c>
      <c r="AD81" s="2">
        <v>119.1</v>
      </c>
      <c r="AE81" s="2">
        <f t="shared" si="10"/>
        <v>1568.0000000000002</v>
      </c>
      <c r="AF81" s="2">
        <f t="shared" si="11"/>
        <v>359.5</v>
      </c>
      <c r="AG81" s="2">
        <f t="shared" si="12"/>
        <v>236.6</v>
      </c>
      <c r="AH81" s="2">
        <f t="shared" si="13"/>
        <v>114.4</v>
      </c>
      <c r="AI81" s="2">
        <f t="shared" si="14"/>
        <v>812.59999999999991</v>
      </c>
      <c r="AJ81" s="2">
        <f t="shared" si="15"/>
        <v>120.61538461538463</v>
      </c>
      <c r="AK81" s="2">
        <f t="shared" si="16"/>
        <v>119.83333333333333</v>
      </c>
      <c r="AL81" s="2">
        <f t="shared" si="17"/>
        <v>118.3</v>
      </c>
      <c r="AM81" s="2">
        <f t="shared" si="18"/>
        <v>114.4</v>
      </c>
      <c r="AN81" s="2">
        <f t="shared" si="19"/>
        <v>116.08571428571427</v>
      </c>
    </row>
    <row r="82" spans="1:40" x14ac:dyDescent="0.3">
      <c r="A82" t="s">
        <v>33</v>
      </c>
      <c r="B82">
        <v>2015</v>
      </c>
      <c r="C82" t="s">
        <v>35</v>
      </c>
      <c r="D82" s="2">
        <v>123.5</v>
      </c>
      <c r="E82" s="2">
        <v>125.4</v>
      </c>
      <c r="F82" s="2">
        <v>116.8</v>
      </c>
      <c r="G82" s="2">
        <v>126</v>
      </c>
      <c r="H82" s="2">
        <v>109.2</v>
      </c>
      <c r="I82" s="2">
        <v>127.6</v>
      </c>
      <c r="J82" s="2">
        <v>129.19999999999999</v>
      </c>
      <c r="K82" s="2">
        <v>122.4</v>
      </c>
      <c r="L82" s="2">
        <v>97</v>
      </c>
      <c r="M82" s="2">
        <v>122.1</v>
      </c>
      <c r="N82" s="2">
        <v>118.1</v>
      </c>
      <c r="O82" s="2">
        <v>128.4</v>
      </c>
      <c r="P82" s="2">
        <v>123.4</v>
      </c>
      <c r="Q82" s="2">
        <v>125.8</v>
      </c>
      <c r="R82" s="2">
        <v>124.3</v>
      </c>
      <c r="S82" s="2">
        <v>120.4</v>
      </c>
      <c r="T82" s="2">
        <v>123.7</v>
      </c>
      <c r="U82" s="2">
        <v>118.6</v>
      </c>
      <c r="V82" s="2">
        <v>118.3</v>
      </c>
      <c r="W82" s="2">
        <v>119.2</v>
      </c>
      <c r="X82" s="2">
        <v>116.7</v>
      </c>
      <c r="Y82" s="2">
        <v>109.9</v>
      </c>
      <c r="Z82" s="2">
        <v>115.4</v>
      </c>
      <c r="AA82" s="2">
        <v>120.1</v>
      </c>
      <c r="AB82" s="2">
        <v>111</v>
      </c>
      <c r="AC82" s="2">
        <v>114.7</v>
      </c>
      <c r="AD82" s="2">
        <v>120.2</v>
      </c>
      <c r="AE82" s="2">
        <f t="shared" si="10"/>
        <v>1569.1</v>
      </c>
      <c r="AF82" s="2">
        <f t="shared" si="11"/>
        <v>368.4</v>
      </c>
      <c r="AG82" s="2">
        <f t="shared" si="12"/>
        <v>237.8</v>
      </c>
      <c r="AH82" s="2">
        <f t="shared" si="13"/>
        <v>118.3</v>
      </c>
      <c r="AI82" s="2">
        <f t="shared" si="14"/>
        <v>813.6</v>
      </c>
      <c r="AJ82" s="2">
        <f t="shared" si="15"/>
        <v>120.69999999999999</v>
      </c>
      <c r="AK82" s="2">
        <f t="shared" si="16"/>
        <v>122.8</v>
      </c>
      <c r="AL82" s="2">
        <f t="shared" si="17"/>
        <v>118.9</v>
      </c>
      <c r="AM82" s="2">
        <f t="shared" si="18"/>
        <v>118.3</v>
      </c>
      <c r="AN82" s="2">
        <f t="shared" si="19"/>
        <v>116.22857142857143</v>
      </c>
    </row>
    <row r="83" spans="1:40" x14ac:dyDescent="0.3">
      <c r="A83" t="s">
        <v>30</v>
      </c>
      <c r="B83">
        <v>2015</v>
      </c>
      <c r="C83" t="s">
        <v>36</v>
      </c>
      <c r="D83" s="2">
        <v>123.3</v>
      </c>
      <c r="E83" s="2">
        <v>125.5</v>
      </c>
      <c r="F83" s="2">
        <v>117.2</v>
      </c>
      <c r="G83" s="2">
        <v>126.8</v>
      </c>
      <c r="H83" s="2">
        <v>111.9</v>
      </c>
      <c r="I83" s="2">
        <v>134.19999999999999</v>
      </c>
      <c r="J83" s="2">
        <v>127.5</v>
      </c>
      <c r="K83" s="2">
        <v>121.5</v>
      </c>
      <c r="L83" s="2">
        <v>97.8</v>
      </c>
      <c r="M83" s="2">
        <v>119.8</v>
      </c>
      <c r="N83" s="2">
        <v>119.4</v>
      </c>
      <c r="O83" s="2">
        <v>128.69999999999999</v>
      </c>
      <c r="P83" s="2">
        <v>123.6</v>
      </c>
      <c r="Q83" s="2">
        <v>125.7</v>
      </c>
      <c r="R83" s="2">
        <v>126.4</v>
      </c>
      <c r="S83" s="2">
        <v>123.3</v>
      </c>
      <c r="T83" s="2">
        <v>126</v>
      </c>
      <c r="U83" s="2">
        <f>AVERAGE(U84,U85)</f>
        <v>119.2</v>
      </c>
      <c r="V83" s="2">
        <v>121.2</v>
      </c>
      <c r="W83" s="2">
        <v>120.9</v>
      </c>
      <c r="X83" s="2">
        <v>118.6</v>
      </c>
      <c r="Y83" s="2">
        <v>111.9</v>
      </c>
      <c r="Z83" s="2">
        <v>116.2</v>
      </c>
      <c r="AA83" s="2">
        <v>119.9</v>
      </c>
      <c r="AB83" s="2">
        <v>111.6</v>
      </c>
      <c r="AC83" s="2">
        <v>116</v>
      </c>
      <c r="AD83" s="2">
        <v>121.5</v>
      </c>
      <c r="AE83" s="2">
        <f t="shared" si="10"/>
        <v>1577.2</v>
      </c>
      <c r="AF83" s="2">
        <f t="shared" si="11"/>
        <v>375.7</v>
      </c>
      <c r="AG83" s="2">
        <f t="shared" si="12"/>
        <v>240.10000000000002</v>
      </c>
      <c r="AH83" s="2">
        <f t="shared" si="13"/>
        <v>121.2</v>
      </c>
      <c r="AI83" s="2">
        <f t="shared" si="14"/>
        <v>819.90000000000009</v>
      </c>
      <c r="AJ83" s="2">
        <f t="shared" si="15"/>
        <v>121.32307692307693</v>
      </c>
      <c r="AK83" s="2">
        <f t="shared" si="16"/>
        <v>125.23333333333333</v>
      </c>
      <c r="AL83" s="2">
        <f t="shared" si="17"/>
        <v>120.05000000000001</v>
      </c>
      <c r="AM83" s="2">
        <f t="shared" si="18"/>
        <v>121.2</v>
      </c>
      <c r="AN83" s="2">
        <f t="shared" si="19"/>
        <v>117.12857142857145</v>
      </c>
    </row>
    <row r="84" spans="1:40" x14ac:dyDescent="0.3">
      <c r="A84" t="s">
        <v>32</v>
      </c>
      <c r="B84">
        <v>2015</v>
      </c>
      <c r="C84" t="s">
        <v>36</v>
      </c>
      <c r="D84" s="2">
        <v>123.8</v>
      </c>
      <c r="E84" s="2">
        <v>128.19999999999999</v>
      </c>
      <c r="F84" s="2">
        <v>110</v>
      </c>
      <c r="G84" s="2">
        <v>126.3</v>
      </c>
      <c r="H84" s="2">
        <v>104.5</v>
      </c>
      <c r="I84" s="2">
        <v>130.6</v>
      </c>
      <c r="J84" s="2">
        <v>130.80000000000001</v>
      </c>
      <c r="K84" s="2">
        <v>131.30000000000001</v>
      </c>
      <c r="L84" s="2">
        <v>91.6</v>
      </c>
      <c r="M84" s="2">
        <v>127.7</v>
      </c>
      <c r="N84" s="2">
        <v>117.2</v>
      </c>
      <c r="O84" s="2">
        <v>129.5</v>
      </c>
      <c r="P84" s="2">
        <v>124.6</v>
      </c>
      <c r="Q84" s="2">
        <v>130.1</v>
      </c>
      <c r="R84" s="2">
        <v>122.1</v>
      </c>
      <c r="S84" s="2">
        <v>117.2</v>
      </c>
      <c r="T84" s="2">
        <v>121.3</v>
      </c>
      <c r="U84" s="2">
        <v>119.2</v>
      </c>
      <c r="V84" s="2">
        <v>114.7</v>
      </c>
      <c r="W84" s="2">
        <v>118.4</v>
      </c>
      <c r="X84" s="2">
        <v>114.6</v>
      </c>
      <c r="Y84" s="2">
        <v>108.4</v>
      </c>
      <c r="Z84" s="2">
        <v>115.6</v>
      </c>
      <c r="AA84" s="2">
        <v>121.7</v>
      </c>
      <c r="AB84" s="2">
        <v>111.8</v>
      </c>
      <c r="AC84" s="2">
        <v>114.2</v>
      </c>
      <c r="AD84" s="2">
        <v>119.7</v>
      </c>
      <c r="AE84" s="2">
        <f t="shared" si="10"/>
        <v>1576.1</v>
      </c>
      <c r="AF84" s="2">
        <f t="shared" si="11"/>
        <v>360.6</v>
      </c>
      <c r="AG84" s="2">
        <f t="shared" si="12"/>
        <v>237.60000000000002</v>
      </c>
      <c r="AH84" s="2">
        <f t="shared" si="13"/>
        <v>114.7</v>
      </c>
      <c r="AI84" s="2">
        <f t="shared" si="14"/>
        <v>816.40000000000009</v>
      </c>
      <c r="AJ84" s="2">
        <f t="shared" si="15"/>
        <v>121.23846153846154</v>
      </c>
      <c r="AK84" s="2">
        <f t="shared" si="16"/>
        <v>120.2</v>
      </c>
      <c r="AL84" s="2">
        <f t="shared" si="17"/>
        <v>118.80000000000001</v>
      </c>
      <c r="AM84" s="2">
        <f t="shared" si="18"/>
        <v>114.7</v>
      </c>
      <c r="AN84" s="2">
        <f t="shared" si="19"/>
        <v>116.62857142857145</v>
      </c>
    </row>
    <row r="85" spans="1:40" x14ac:dyDescent="0.3">
      <c r="A85" t="s">
        <v>33</v>
      </c>
      <c r="B85">
        <v>2015</v>
      </c>
      <c r="C85" t="s">
        <v>36</v>
      </c>
      <c r="D85" s="2">
        <v>123.5</v>
      </c>
      <c r="E85" s="2">
        <v>126.4</v>
      </c>
      <c r="F85" s="2">
        <v>114.4</v>
      </c>
      <c r="G85" s="2">
        <v>126.6</v>
      </c>
      <c r="H85" s="2">
        <v>109.2</v>
      </c>
      <c r="I85" s="2">
        <v>132.5</v>
      </c>
      <c r="J85" s="2">
        <v>128.6</v>
      </c>
      <c r="K85" s="2">
        <v>124.8</v>
      </c>
      <c r="L85" s="2">
        <v>95.7</v>
      </c>
      <c r="M85" s="2">
        <v>122.4</v>
      </c>
      <c r="N85" s="2">
        <v>118.5</v>
      </c>
      <c r="O85" s="2">
        <v>129.1</v>
      </c>
      <c r="P85" s="2">
        <v>124</v>
      </c>
      <c r="Q85" s="2">
        <v>126.9</v>
      </c>
      <c r="R85" s="2">
        <v>124.7</v>
      </c>
      <c r="S85" s="2">
        <v>120.8</v>
      </c>
      <c r="T85" s="2">
        <v>124.1</v>
      </c>
      <c r="U85" s="2">
        <v>119.2</v>
      </c>
      <c r="V85" s="2">
        <v>118.7</v>
      </c>
      <c r="W85" s="2">
        <v>119.7</v>
      </c>
      <c r="X85" s="2">
        <v>117.1</v>
      </c>
      <c r="Y85" s="2">
        <v>110.1</v>
      </c>
      <c r="Z85" s="2">
        <v>115.9</v>
      </c>
      <c r="AA85" s="2">
        <v>121</v>
      </c>
      <c r="AB85" s="2">
        <v>111.7</v>
      </c>
      <c r="AC85" s="2">
        <v>115.1</v>
      </c>
      <c r="AD85" s="2">
        <v>120.7</v>
      </c>
      <c r="AE85" s="2">
        <f t="shared" si="10"/>
        <v>1575.7</v>
      </c>
      <c r="AF85" s="2">
        <f t="shared" si="11"/>
        <v>369.6</v>
      </c>
      <c r="AG85" s="2">
        <f t="shared" si="12"/>
        <v>238.9</v>
      </c>
      <c r="AH85" s="2">
        <f t="shared" si="13"/>
        <v>118.7</v>
      </c>
      <c r="AI85" s="2">
        <f t="shared" si="14"/>
        <v>817.80000000000007</v>
      </c>
      <c r="AJ85" s="2">
        <f t="shared" si="15"/>
        <v>121.20769230769231</v>
      </c>
      <c r="AK85" s="2">
        <f t="shared" si="16"/>
        <v>123.2</v>
      </c>
      <c r="AL85" s="2">
        <f t="shared" si="17"/>
        <v>119.45</v>
      </c>
      <c r="AM85" s="2">
        <f t="shared" si="18"/>
        <v>118.7</v>
      </c>
      <c r="AN85" s="2">
        <f t="shared" si="19"/>
        <v>116.82857142857144</v>
      </c>
    </row>
    <row r="86" spans="1:40" x14ac:dyDescent="0.3">
      <c r="A86" t="s">
        <v>30</v>
      </c>
      <c r="B86">
        <v>2015</v>
      </c>
      <c r="C86" t="s">
        <v>37</v>
      </c>
      <c r="D86" s="2">
        <v>123.5</v>
      </c>
      <c r="E86" s="2">
        <v>127.1</v>
      </c>
      <c r="F86" s="2">
        <v>117.3</v>
      </c>
      <c r="G86" s="2">
        <v>127.7</v>
      </c>
      <c r="H86" s="2">
        <v>112.5</v>
      </c>
      <c r="I86" s="2">
        <v>134.1</v>
      </c>
      <c r="J86" s="2">
        <v>128.5</v>
      </c>
      <c r="K86" s="2">
        <v>124.3</v>
      </c>
      <c r="L86" s="2">
        <v>97.6</v>
      </c>
      <c r="M86" s="2">
        <v>120.7</v>
      </c>
      <c r="N86" s="2">
        <v>120.2</v>
      </c>
      <c r="O86" s="2">
        <v>129.80000000000001</v>
      </c>
      <c r="P86" s="2">
        <v>124.4</v>
      </c>
      <c r="Q86" s="2">
        <v>126.7</v>
      </c>
      <c r="R86" s="2">
        <v>127.3</v>
      </c>
      <c r="S86" s="2">
        <v>124.1</v>
      </c>
      <c r="T86" s="2">
        <v>126.8</v>
      </c>
      <c r="U86" s="2">
        <f>AVERAGE(U87,U88)</f>
        <v>119.6</v>
      </c>
      <c r="V86" s="2">
        <v>121.9</v>
      </c>
      <c r="W86" s="2">
        <v>121.5</v>
      </c>
      <c r="X86" s="2">
        <v>119.4</v>
      </c>
      <c r="Y86" s="2">
        <v>113.3</v>
      </c>
      <c r="Z86" s="2">
        <v>116.7</v>
      </c>
      <c r="AA86" s="2">
        <v>120.5</v>
      </c>
      <c r="AB86" s="2">
        <v>112.3</v>
      </c>
      <c r="AC86" s="2">
        <v>116.9</v>
      </c>
      <c r="AD86" s="2">
        <v>122.4</v>
      </c>
      <c r="AE86" s="2">
        <f t="shared" si="10"/>
        <v>1587.7</v>
      </c>
      <c r="AF86" s="2">
        <f t="shared" si="11"/>
        <v>378.2</v>
      </c>
      <c r="AG86" s="2">
        <f t="shared" si="12"/>
        <v>241.1</v>
      </c>
      <c r="AH86" s="2">
        <f t="shared" si="13"/>
        <v>121.9</v>
      </c>
      <c r="AI86" s="2">
        <f t="shared" si="14"/>
        <v>825.8</v>
      </c>
      <c r="AJ86" s="2">
        <f t="shared" si="15"/>
        <v>122.13076923076923</v>
      </c>
      <c r="AK86" s="2">
        <f t="shared" si="16"/>
        <v>126.06666666666666</v>
      </c>
      <c r="AL86" s="2">
        <f t="shared" si="17"/>
        <v>120.55</v>
      </c>
      <c r="AM86" s="2">
        <f t="shared" si="18"/>
        <v>121.9</v>
      </c>
      <c r="AN86" s="2">
        <f t="shared" si="19"/>
        <v>117.97142857142856</v>
      </c>
    </row>
    <row r="87" spans="1:40" x14ac:dyDescent="0.3">
      <c r="A87" t="s">
        <v>32</v>
      </c>
      <c r="B87">
        <v>2015</v>
      </c>
      <c r="C87" t="s">
        <v>37</v>
      </c>
      <c r="D87" s="2">
        <v>123.8</v>
      </c>
      <c r="E87" s="2">
        <v>129.69999999999999</v>
      </c>
      <c r="F87" s="2">
        <v>111.3</v>
      </c>
      <c r="G87" s="2">
        <v>126.6</v>
      </c>
      <c r="H87" s="2">
        <v>105.2</v>
      </c>
      <c r="I87" s="2">
        <v>130.80000000000001</v>
      </c>
      <c r="J87" s="2">
        <v>135.6</v>
      </c>
      <c r="K87" s="2">
        <v>142.6</v>
      </c>
      <c r="L87" s="2">
        <v>90.8</v>
      </c>
      <c r="M87" s="2">
        <v>128.80000000000001</v>
      </c>
      <c r="N87" s="2">
        <v>117.7</v>
      </c>
      <c r="O87" s="2">
        <v>129.9</v>
      </c>
      <c r="P87" s="2">
        <v>126.1</v>
      </c>
      <c r="Q87" s="2">
        <v>131.30000000000001</v>
      </c>
      <c r="R87" s="2">
        <v>122.4</v>
      </c>
      <c r="S87" s="2">
        <v>117.4</v>
      </c>
      <c r="T87" s="2">
        <v>121.6</v>
      </c>
      <c r="U87" s="2">
        <v>119.6</v>
      </c>
      <c r="V87" s="2">
        <v>114.9</v>
      </c>
      <c r="W87" s="2">
        <v>118.7</v>
      </c>
      <c r="X87" s="2">
        <v>114.9</v>
      </c>
      <c r="Y87" s="2">
        <v>110.8</v>
      </c>
      <c r="Z87" s="2">
        <v>116</v>
      </c>
      <c r="AA87" s="2">
        <v>122</v>
      </c>
      <c r="AB87" s="2">
        <v>112.4</v>
      </c>
      <c r="AC87" s="2">
        <v>115.2</v>
      </c>
      <c r="AD87" s="2">
        <v>120.7</v>
      </c>
      <c r="AE87" s="2">
        <f t="shared" si="10"/>
        <v>1598.9</v>
      </c>
      <c r="AF87" s="2">
        <f t="shared" si="11"/>
        <v>361.4</v>
      </c>
      <c r="AG87" s="2">
        <f t="shared" si="12"/>
        <v>238.3</v>
      </c>
      <c r="AH87" s="2">
        <f t="shared" si="13"/>
        <v>114.9</v>
      </c>
      <c r="AI87" s="2">
        <f t="shared" si="14"/>
        <v>822.60000000000014</v>
      </c>
      <c r="AJ87" s="2">
        <f t="shared" si="15"/>
        <v>122.9923076923077</v>
      </c>
      <c r="AK87" s="2">
        <f t="shared" si="16"/>
        <v>120.46666666666665</v>
      </c>
      <c r="AL87" s="2">
        <f t="shared" si="17"/>
        <v>119.15</v>
      </c>
      <c r="AM87" s="2">
        <f t="shared" si="18"/>
        <v>114.9</v>
      </c>
      <c r="AN87" s="2">
        <f t="shared" si="19"/>
        <v>117.51428571428573</v>
      </c>
    </row>
    <row r="88" spans="1:40" x14ac:dyDescent="0.3">
      <c r="A88" t="s">
        <v>33</v>
      </c>
      <c r="B88">
        <v>2015</v>
      </c>
      <c r="C88" t="s">
        <v>37</v>
      </c>
      <c r="D88" s="2">
        <v>123.6</v>
      </c>
      <c r="E88" s="2">
        <v>128</v>
      </c>
      <c r="F88" s="2">
        <v>115</v>
      </c>
      <c r="G88" s="2">
        <v>127.3</v>
      </c>
      <c r="H88" s="2">
        <v>109.8</v>
      </c>
      <c r="I88" s="2">
        <v>132.6</v>
      </c>
      <c r="J88" s="2">
        <v>130.9</v>
      </c>
      <c r="K88" s="2">
        <v>130.5</v>
      </c>
      <c r="L88" s="2">
        <v>95.3</v>
      </c>
      <c r="M88" s="2">
        <v>123.4</v>
      </c>
      <c r="N88" s="2">
        <v>119.2</v>
      </c>
      <c r="O88" s="2">
        <v>129.80000000000001</v>
      </c>
      <c r="P88" s="2">
        <v>125</v>
      </c>
      <c r="Q88" s="2">
        <v>127.9</v>
      </c>
      <c r="R88" s="2">
        <v>125.4</v>
      </c>
      <c r="S88" s="2">
        <v>121.3</v>
      </c>
      <c r="T88" s="2">
        <v>124.7</v>
      </c>
      <c r="U88" s="2">
        <v>119.6</v>
      </c>
      <c r="V88" s="2">
        <v>119.2</v>
      </c>
      <c r="W88" s="2">
        <v>120.2</v>
      </c>
      <c r="X88" s="2">
        <v>117.7</v>
      </c>
      <c r="Y88" s="2">
        <v>112</v>
      </c>
      <c r="Z88" s="2">
        <v>116.3</v>
      </c>
      <c r="AA88" s="2">
        <v>121.4</v>
      </c>
      <c r="AB88" s="2">
        <v>112.3</v>
      </c>
      <c r="AC88" s="2">
        <v>116.1</v>
      </c>
      <c r="AD88" s="2">
        <v>121.6</v>
      </c>
      <c r="AE88" s="2">
        <f t="shared" si="10"/>
        <v>1590.4</v>
      </c>
      <c r="AF88" s="2">
        <f t="shared" si="11"/>
        <v>371.4</v>
      </c>
      <c r="AG88" s="2">
        <f t="shared" si="12"/>
        <v>239.8</v>
      </c>
      <c r="AH88" s="2">
        <f t="shared" si="13"/>
        <v>119.2</v>
      </c>
      <c r="AI88" s="2">
        <f t="shared" si="14"/>
        <v>823.69999999999993</v>
      </c>
      <c r="AJ88" s="2">
        <f t="shared" si="15"/>
        <v>122.33846153846154</v>
      </c>
      <c r="AK88" s="2">
        <f t="shared" si="16"/>
        <v>123.8</v>
      </c>
      <c r="AL88" s="2">
        <f t="shared" si="17"/>
        <v>119.9</v>
      </c>
      <c r="AM88" s="2">
        <f t="shared" si="18"/>
        <v>119.2</v>
      </c>
      <c r="AN88" s="2">
        <f t="shared" si="19"/>
        <v>117.67142857142856</v>
      </c>
    </row>
    <row r="89" spans="1:40" x14ac:dyDescent="0.3">
      <c r="A89" t="s">
        <v>30</v>
      </c>
      <c r="B89">
        <v>2015</v>
      </c>
      <c r="C89" t="s">
        <v>38</v>
      </c>
      <c r="D89" s="2">
        <v>124.1</v>
      </c>
      <c r="E89" s="2">
        <v>130.4</v>
      </c>
      <c r="F89" s="2">
        <v>122.1</v>
      </c>
      <c r="G89" s="2">
        <v>128.69999999999999</v>
      </c>
      <c r="H89" s="2">
        <v>114.1</v>
      </c>
      <c r="I89" s="2">
        <v>133.19999999999999</v>
      </c>
      <c r="J89" s="2">
        <v>135.19999999999999</v>
      </c>
      <c r="K89" s="2">
        <v>131.9</v>
      </c>
      <c r="L89" s="2">
        <v>96.3</v>
      </c>
      <c r="M89" s="2">
        <v>123</v>
      </c>
      <c r="N89" s="2">
        <v>121.1</v>
      </c>
      <c r="O89" s="2">
        <v>131.19999999999999</v>
      </c>
      <c r="P89" s="2">
        <v>126.6</v>
      </c>
      <c r="Q89" s="2">
        <v>128.19999999999999</v>
      </c>
      <c r="R89" s="2">
        <v>128.4</v>
      </c>
      <c r="S89" s="2">
        <v>125.1</v>
      </c>
      <c r="T89" s="2">
        <v>128</v>
      </c>
      <c r="U89" s="2">
        <f>AVERAGE(U90,U91)</f>
        <v>119</v>
      </c>
      <c r="V89" s="2">
        <v>122.6</v>
      </c>
      <c r="W89" s="2">
        <v>122.8</v>
      </c>
      <c r="X89" s="2">
        <v>120.4</v>
      </c>
      <c r="Y89" s="2">
        <v>114.2</v>
      </c>
      <c r="Z89" s="2">
        <v>117.9</v>
      </c>
      <c r="AA89" s="2">
        <v>122</v>
      </c>
      <c r="AB89" s="2">
        <v>113</v>
      </c>
      <c r="AC89" s="2">
        <v>117.9</v>
      </c>
      <c r="AD89" s="2">
        <v>124.1</v>
      </c>
      <c r="AE89" s="2">
        <f t="shared" si="10"/>
        <v>1617.8999999999999</v>
      </c>
      <c r="AF89" s="2">
        <f t="shared" si="11"/>
        <v>381.5</v>
      </c>
      <c r="AG89" s="2">
        <f t="shared" si="12"/>
        <v>241.8</v>
      </c>
      <c r="AH89" s="2">
        <f t="shared" si="13"/>
        <v>122.6</v>
      </c>
      <c r="AI89" s="2">
        <f t="shared" si="14"/>
        <v>833.59999999999991</v>
      </c>
      <c r="AJ89" s="2">
        <f t="shared" si="15"/>
        <v>124.45384615384614</v>
      </c>
      <c r="AK89" s="2">
        <f t="shared" si="16"/>
        <v>127.16666666666667</v>
      </c>
      <c r="AL89" s="2">
        <f t="shared" si="17"/>
        <v>120.9</v>
      </c>
      <c r="AM89" s="2">
        <f t="shared" si="18"/>
        <v>122.6</v>
      </c>
      <c r="AN89" s="2">
        <f t="shared" si="19"/>
        <v>119.08571428571427</v>
      </c>
    </row>
    <row r="90" spans="1:40" x14ac:dyDescent="0.3">
      <c r="A90" t="s">
        <v>32</v>
      </c>
      <c r="B90">
        <v>2015</v>
      </c>
      <c r="C90" t="s">
        <v>38</v>
      </c>
      <c r="D90" s="2">
        <v>123.6</v>
      </c>
      <c r="E90" s="2">
        <v>134.4</v>
      </c>
      <c r="F90" s="2">
        <v>120.9</v>
      </c>
      <c r="G90" s="2">
        <v>127.3</v>
      </c>
      <c r="H90" s="2">
        <v>106</v>
      </c>
      <c r="I90" s="2">
        <v>132.30000000000001</v>
      </c>
      <c r="J90" s="2">
        <v>146.69999999999999</v>
      </c>
      <c r="K90" s="2">
        <v>148.1</v>
      </c>
      <c r="L90" s="2">
        <v>89.8</v>
      </c>
      <c r="M90" s="2">
        <v>130.5</v>
      </c>
      <c r="N90" s="2">
        <v>118</v>
      </c>
      <c r="O90" s="2">
        <v>130.5</v>
      </c>
      <c r="P90" s="2">
        <v>128.5</v>
      </c>
      <c r="Q90" s="2">
        <v>132.1</v>
      </c>
      <c r="R90" s="2">
        <v>123.2</v>
      </c>
      <c r="S90" s="2">
        <v>117.6</v>
      </c>
      <c r="T90" s="2">
        <v>122.3</v>
      </c>
      <c r="U90" s="2">
        <v>119</v>
      </c>
      <c r="V90" s="2">
        <v>115.1</v>
      </c>
      <c r="W90" s="2">
        <v>119.2</v>
      </c>
      <c r="X90" s="2">
        <v>115.4</v>
      </c>
      <c r="Y90" s="2">
        <v>111.7</v>
      </c>
      <c r="Z90" s="2">
        <v>116.2</v>
      </c>
      <c r="AA90" s="2">
        <v>123.8</v>
      </c>
      <c r="AB90" s="2">
        <v>112.5</v>
      </c>
      <c r="AC90" s="2">
        <v>116</v>
      </c>
      <c r="AD90" s="2">
        <v>121.7</v>
      </c>
      <c r="AE90" s="2">
        <f t="shared" si="10"/>
        <v>1636.6</v>
      </c>
      <c r="AF90" s="2">
        <f t="shared" si="11"/>
        <v>363.1</v>
      </c>
      <c r="AG90" s="2">
        <f t="shared" si="12"/>
        <v>238.2</v>
      </c>
      <c r="AH90" s="2">
        <f t="shared" si="13"/>
        <v>115.1</v>
      </c>
      <c r="AI90" s="2">
        <f t="shared" si="14"/>
        <v>827.7</v>
      </c>
      <c r="AJ90" s="2">
        <f t="shared" si="15"/>
        <v>125.89230769230768</v>
      </c>
      <c r="AK90" s="2">
        <f t="shared" si="16"/>
        <v>121.03333333333335</v>
      </c>
      <c r="AL90" s="2">
        <f t="shared" si="17"/>
        <v>119.1</v>
      </c>
      <c r="AM90" s="2">
        <f t="shared" si="18"/>
        <v>115.1</v>
      </c>
      <c r="AN90" s="2">
        <f t="shared" si="19"/>
        <v>118.24285714285715</v>
      </c>
    </row>
    <row r="91" spans="1:40" x14ac:dyDescent="0.3">
      <c r="A91" t="s">
        <v>33</v>
      </c>
      <c r="B91">
        <v>2015</v>
      </c>
      <c r="C91" t="s">
        <v>38</v>
      </c>
      <c r="D91" s="2">
        <v>123.9</v>
      </c>
      <c r="E91" s="2">
        <v>131.80000000000001</v>
      </c>
      <c r="F91" s="2">
        <v>121.6</v>
      </c>
      <c r="G91" s="2">
        <v>128.19999999999999</v>
      </c>
      <c r="H91" s="2">
        <v>111.1</v>
      </c>
      <c r="I91" s="2">
        <v>132.80000000000001</v>
      </c>
      <c r="J91" s="2">
        <v>139.1</v>
      </c>
      <c r="K91" s="2">
        <v>137.4</v>
      </c>
      <c r="L91" s="2">
        <v>94.1</v>
      </c>
      <c r="M91" s="2">
        <v>125.5</v>
      </c>
      <c r="N91" s="2">
        <v>119.8</v>
      </c>
      <c r="O91" s="2">
        <v>130.9</v>
      </c>
      <c r="P91" s="2">
        <v>127.3</v>
      </c>
      <c r="Q91" s="2">
        <v>129.19999999999999</v>
      </c>
      <c r="R91" s="2">
        <v>126.4</v>
      </c>
      <c r="S91" s="2">
        <v>122</v>
      </c>
      <c r="T91" s="2">
        <v>125.7</v>
      </c>
      <c r="U91" s="2">
        <v>119</v>
      </c>
      <c r="V91" s="2">
        <v>119.8</v>
      </c>
      <c r="W91" s="2">
        <v>121.1</v>
      </c>
      <c r="X91" s="2">
        <v>118.5</v>
      </c>
      <c r="Y91" s="2">
        <v>112.9</v>
      </c>
      <c r="Z91" s="2">
        <v>116.9</v>
      </c>
      <c r="AA91" s="2">
        <v>123.1</v>
      </c>
      <c r="AB91" s="2">
        <v>112.8</v>
      </c>
      <c r="AC91" s="2">
        <v>117</v>
      </c>
      <c r="AD91" s="2">
        <v>123</v>
      </c>
      <c r="AE91" s="2">
        <f t="shared" si="10"/>
        <v>1623.5</v>
      </c>
      <c r="AF91" s="2">
        <f t="shared" si="11"/>
        <v>374.1</v>
      </c>
      <c r="AG91" s="2">
        <f t="shared" si="12"/>
        <v>240.1</v>
      </c>
      <c r="AH91" s="2">
        <f t="shared" si="13"/>
        <v>119.8</v>
      </c>
      <c r="AI91" s="2">
        <f t="shared" si="14"/>
        <v>830.39999999999986</v>
      </c>
      <c r="AJ91" s="2">
        <f t="shared" si="15"/>
        <v>124.88461538461539</v>
      </c>
      <c r="AK91" s="2">
        <f t="shared" si="16"/>
        <v>124.7</v>
      </c>
      <c r="AL91" s="2">
        <f t="shared" si="17"/>
        <v>120.05</v>
      </c>
      <c r="AM91" s="2">
        <f t="shared" si="18"/>
        <v>119.8</v>
      </c>
      <c r="AN91" s="2">
        <f t="shared" si="19"/>
        <v>118.62857142857141</v>
      </c>
    </row>
    <row r="92" spans="1:40" x14ac:dyDescent="0.3">
      <c r="A92" t="s">
        <v>30</v>
      </c>
      <c r="B92">
        <v>2015</v>
      </c>
      <c r="C92" t="s">
        <v>39</v>
      </c>
      <c r="D92" s="2">
        <v>124</v>
      </c>
      <c r="E92" s="2">
        <v>131.5</v>
      </c>
      <c r="F92" s="2">
        <v>122</v>
      </c>
      <c r="G92" s="2">
        <v>128.69999999999999</v>
      </c>
      <c r="H92" s="2">
        <v>113.5</v>
      </c>
      <c r="I92" s="2">
        <v>133.30000000000001</v>
      </c>
      <c r="J92" s="2">
        <v>140.80000000000001</v>
      </c>
      <c r="K92" s="2">
        <v>133.80000000000001</v>
      </c>
      <c r="L92" s="2">
        <v>94.1</v>
      </c>
      <c r="M92" s="2">
        <v>123.4</v>
      </c>
      <c r="N92" s="2">
        <v>121</v>
      </c>
      <c r="O92" s="2">
        <v>131.69999999999999</v>
      </c>
      <c r="P92" s="2">
        <v>127.5</v>
      </c>
      <c r="Q92" s="2">
        <v>129.4</v>
      </c>
      <c r="R92" s="2">
        <v>128.80000000000001</v>
      </c>
      <c r="S92" s="2">
        <v>125.5</v>
      </c>
      <c r="T92" s="2">
        <v>128.30000000000001</v>
      </c>
      <c r="U92" s="2">
        <f>AVERAGE(U93,U94)</f>
        <v>119.9</v>
      </c>
      <c r="V92" s="2">
        <v>123</v>
      </c>
      <c r="W92" s="2">
        <v>123</v>
      </c>
      <c r="X92" s="2">
        <v>120.8</v>
      </c>
      <c r="Y92" s="2">
        <v>114.1</v>
      </c>
      <c r="Z92" s="2">
        <v>118</v>
      </c>
      <c r="AA92" s="2">
        <v>122.9</v>
      </c>
      <c r="AB92" s="2">
        <v>112.7</v>
      </c>
      <c r="AC92" s="2">
        <v>118.1</v>
      </c>
      <c r="AD92" s="2">
        <v>124.7</v>
      </c>
      <c r="AE92" s="2">
        <f t="shared" si="10"/>
        <v>1625.3</v>
      </c>
      <c r="AF92" s="2">
        <f t="shared" si="11"/>
        <v>382.6</v>
      </c>
      <c r="AG92" s="2">
        <f t="shared" si="12"/>
        <v>242.9</v>
      </c>
      <c r="AH92" s="2">
        <f t="shared" si="13"/>
        <v>123</v>
      </c>
      <c r="AI92" s="2">
        <f t="shared" si="14"/>
        <v>836</v>
      </c>
      <c r="AJ92" s="2">
        <f t="shared" si="15"/>
        <v>125.02307692307691</v>
      </c>
      <c r="AK92" s="2">
        <f t="shared" si="16"/>
        <v>127.53333333333335</v>
      </c>
      <c r="AL92" s="2">
        <f t="shared" si="17"/>
        <v>121.45</v>
      </c>
      <c r="AM92" s="2">
        <f t="shared" si="18"/>
        <v>123</v>
      </c>
      <c r="AN92" s="2">
        <f t="shared" si="19"/>
        <v>119.42857142857143</v>
      </c>
    </row>
    <row r="93" spans="1:40" x14ac:dyDescent="0.3">
      <c r="A93" t="s">
        <v>32</v>
      </c>
      <c r="B93">
        <v>2015</v>
      </c>
      <c r="C93" t="s">
        <v>39</v>
      </c>
      <c r="D93" s="2">
        <v>123.2</v>
      </c>
      <c r="E93" s="2">
        <v>134.30000000000001</v>
      </c>
      <c r="F93" s="2">
        <v>119.5</v>
      </c>
      <c r="G93" s="2">
        <v>127.7</v>
      </c>
      <c r="H93" s="2">
        <v>106.3</v>
      </c>
      <c r="I93" s="2">
        <v>132.80000000000001</v>
      </c>
      <c r="J93" s="2">
        <v>153.5</v>
      </c>
      <c r="K93" s="2">
        <v>149.5</v>
      </c>
      <c r="L93" s="2">
        <v>85.7</v>
      </c>
      <c r="M93" s="2">
        <v>131.5</v>
      </c>
      <c r="N93" s="2">
        <v>118.3</v>
      </c>
      <c r="O93" s="2">
        <v>131.1</v>
      </c>
      <c r="P93" s="2">
        <v>129.5</v>
      </c>
      <c r="Q93" s="2">
        <v>133.1</v>
      </c>
      <c r="R93" s="2">
        <v>123.5</v>
      </c>
      <c r="S93" s="2">
        <v>117.9</v>
      </c>
      <c r="T93" s="2">
        <v>122.7</v>
      </c>
      <c r="U93" s="2">
        <v>119.9</v>
      </c>
      <c r="V93" s="2">
        <v>115.3</v>
      </c>
      <c r="W93" s="2">
        <v>119.5</v>
      </c>
      <c r="X93" s="2">
        <v>116</v>
      </c>
      <c r="Y93" s="2">
        <v>111.5</v>
      </c>
      <c r="Z93" s="2">
        <v>116.6</v>
      </c>
      <c r="AA93" s="2">
        <v>125.4</v>
      </c>
      <c r="AB93" s="2">
        <v>111.7</v>
      </c>
      <c r="AC93" s="2">
        <v>116.3</v>
      </c>
      <c r="AD93" s="2">
        <v>122.4</v>
      </c>
      <c r="AE93" s="2">
        <f t="shared" si="10"/>
        <v>1642.8999999999999</v>
      </c>
      <c r="AF93" s="2">
        <f t="shared" si="11"/>
        <v>364.1</v>
      </c>
      <c r="AG93" s="2">
        <f t="shared" si="12"/>
        <v>239.4</v>
      </c>
      <c r="AH93" s="2">
        <f t="shared" si="13"/>
        <v>115.3</v>
      </c>
      <c r="AI93" s="2">
        <f t="shared" si="14"/>
        <v>830.6</v>
      </c>
      <c r="AJ93" s="2">
        <f t="shared" si="15"/>
        <v>126.37692307692306</v>
      </c>
      <c r="AK93" s="2">
        <f t="shared" si="16"/>
        <v>121.36666666666667</v>
      </c>
      <c r="AL93" s="2">
        <f t="shared" si="17"/>
        <v>119.7</v>
      </c>
      <c r="AM93" s="2">
        <f t="shared" si="18"/>
        <v>115.3</v>
      </c>
      <c r="AN93" s="2">
        <f t="shared" si="19"/>
        <v>118.65714285714286</v>
      </c>
    </row>
    <row r="94" spans="1:40" x14ac:dyDescent="0.3">
      <c r="A94" t="s">
        <v>33</v>
      </c>
      <c r="B94">
        <v>2015</v>
      </c>
      <c r="C94" t="s">
        <v>39</v>
      </c>
      <c r="D94" s="2">
        <v>123.7</v>
      </c>
      <c r="E94" s="2">
        <v>132.5</v>
      </c>
      <c r="F94" s="2">
        <v>121</v>
      </c>
      <c r="G94" s="2">
        <v>128.30000000000001</v>
      </c>
      <c r="H94" s="2">
        <v>110.9</v>
      </c>
      <c r="I94" s="2">
        <v>133.1</v>
      </c>
      <c r="J94" s="2">
        <v>145.1</v>
      </c>
      <c r="K94" s="2">
        <v>139.1</v>
      </c>
      <c r="L94" s="2">
        <v>91.3</v>
      </c>
      <c r="M94" s="2">
        <v>126.1</v>
      </c>
      <c r="N94" s="2">
        <v>119.9</v>
      </c>
      <c r="O94" s="2">
        <v>131.4</v>
      </c>
      <c r="P94" s="2">
        <v>128.19999999999999</v>
      </c>
      <c r="Q94" s="2">
        <v>130.4</v>
      </c>
      <c r="R94" s="2">
        <v>126.7</v>
      </c>
      <c r="S94" s="2">
        <v>122.3</v>
      </c>
      <c r="T94" s="2">
        <v>126.1</v>
      </c>
      <c r="U94" s="2">
        <v>119.9</v>
      </c>
      <c r="V94" s="2">
        <v>120.1</v>
      </c>
      <c r="W94" s="2">
        <v>121.3</v>
      </c>
      <c r="X94" s="2">
        <v>119</v>
      </c>
      <c r="Y94" s="2">
        <v>112.7</v>
      </c>
      <c r="Z94" s="2">
        <v>117.2</v>
      </c>
      <c r="AA94" s="2">
        <v>124.4</v>
      </c>
      <c r="AB94" s="2">
        <v>112.3</v>
      </c>
      <c r="AC94" s="2">
        <v>117.2</v>
      </c>
      <c r="AD94" s="2">
        <v>123.6</v>
      </c>
      <c r="AE94" s="2">
        <f t="shared" si="10"/>
        <v>1630.6000000000001</v>
      </c>
      <c r="AF94" s="2">
        <f t="shared" si="11"/>
        <v>375.1</v>
      </c>
      <c r="AG94" s="2">
        <f t="shared" si="12"/>
        <v>241.2</v>
      </c>
      <c r="AH94" s="2">
        <f t="shared" si="13"/>
        <v>120.1</v>
      </c>
      <c r="AI94" s="2">
        <f t="shared" si="14"/>
        <v>833.19999999999993</v>
      </c>
      <c r="AJ94" s="2">
        <f t="shared" si="15"/>
        <v>125.43076923076924</v>
      </c>
      <c r="AK94" s="2">
        <f t="shared" si="16"/>
        <v>125.03333333333335</v>
      </c>
      <c r="AL94" s="2">
        <f t="shared" si="17"/>
        <v>120.6</v>
      </c>
      <c r="AM94" s="2">
        <f t="shared" si="18"/>
        <v>120.1</v>
      </c>
      <c r="AN94" s="2">
        <f t="shared" si="19"/>
        <v>119.02857142857142</v>
      </c>
    </row>
    <row r="95" spans="1:40" x14ac:dyDescent="0.3">
      <c r="A95" t="s">
        <v>30</v>
      </c>
      <c r="B95">
        <v>2015</v>
      </c>
      <c r="C95" t="s">
        <v>40</v>
      </c>
      <c r="D95" s="2">
        <v>124.7</v>
      </c>
      <c r="E95" s="2">
        <v>131.30000000000001</v>
      </c>
      <c r="F95" s="2">
        <v>121.3</v>
      </c>
      <c r="G95" s="2">
        <v>128.80000000000001</v>
      </c>
      <c r="H95" s="2">
        <v>114</v>
      </c>
      <c r="I95" s="2">
        <v>134.19999999999999</v>
      </c>
      <c r="J95" s="2">
        <v>153.6</v>
      </c>
      <c r="K95" s="2">
        <v>137.9</v>
      </c>
      <c r="L95" s="2">
        <v>93.1</v>
      </c>
      <c r="M95" s="2">
        <v>123.9</v>
      </c>
      <c r="N95" s="2">
        <v>121.5</v>
      </c>
      <c r="O95" s="2">
        <v>132.5</v>
      </c>
      <c r="P95" s="2">
        <v>129.80000000000001</v>
      </c>
      <c r="Q95" s="2">
        <v>130.1</v>
      </c>
      <c r="R95" s="2">
        <v>129.5</v>
      </c>
      <c r="S95" s="2">
        <v>126.3</v>
      </c>
      <c r="T95" s="2">
        <v>129</v>
      </c>
      <c r="U95" s="2">
        <f>AVERAGE(U96,U97)</f>
        <v>120.9</v>
      </c>
      <c r="V95" s="2">
        <v>123.8</v>
      </c>
      <c r="W95" s="2">
        <v>123.7</v>
      </c>
      <c r="X95" s="2">
        <v>121.1</v>
      </c>
      <c r="Y95" s="2">
        <v>113.6</v>
      </c>
      <c r="Z95" s="2">
        <v>118.5</v>
      </c>
      <c r="AA95" s="2">
        <v>123.6</v>
      </c>
      <c r="AB95" s="2">
        <v>112.5</v>
      </c>
      <c r="AC95" s="2">
        <v>118.2</v>
      </c>
      <c r="AD95" s="2">
        <v>126.1</v>
      </c>
      <c r="AE95" s="2">
        <f t="shared" si="10"/>
        <v>1646.6</v>
      </c>
      <c r="AF95" s="2">
        <f t="shared" si="11"/>
        <v>384.8</v>
      </c>
      <c r="AG95" s="2">
        <f t="shared" si="12"/>
        <v>244.60000000000002</v>
      </c>
      <c r="AH95" s="2">
        <f t="shared" si="13"/>
        <v>123.8</v>
      </c>
      <c r="AI95" s="2">
        <f t="shared" si="14"/>
        <v>837.6</v>
      </c>
      <c r="AJ95" s="2">
        <f t="shared" si="15"/>
        <v>126.66153846153846</v>
      </c>
      <c r="AK95" s="2">
        <f t="shared" si="16"/>
        <v>128.26666666666668</v>
      </c>
      <c r="AL95" s="2">
        <f t="shared" si="17"/>
        <v>122.30000000000001</v>
      </c>
      <c r="AM95" s="2">
        <f t="shared" si="18"/>
        <v>123.8</v>
      </c>
      <c r="AN95" s="2">
        <f t="shared" si="19"/>
        <v>119.65714285714286</v>
      </c>
    </row>
    <row r="96" spans="1:40" x14ac:dyDescent="0.3">
      <c r="A96" t="s">
        <v>32</v>
      </c>
      <c r="B96">
        <v>2015</v>
      </c>
      <c r="C96" t="s">
        <v>40</v>
      </c>
      <c r="D96" s="2">
        <v>123.1</v>
      </c>
      <c r="E96" s="2">
        <v>131.69999999999999</v>
      </c>
      <c r="F96" s="2">
        <v>118.1</v>
      </c>
      <c r="G96" s="2">
        <v>128</v>
      </c>
      <c r="H96" s="2">
        <v>106.8</v>
      </c>
      <c r="I96" s="2">
        <v>130.1</v>
      </c>
      <c r="J96" s="2">
        <v>165.5</v>
      </c>
      <c r="K96" s="2">
        <v>156</v>
      </c>
      <c r="L96" s="2">
        <v>85.3</v>
      </c>
      <c r="M96" s="2">
        <v>132.69999999999999</v>
      </c>
      <c r="N96" s="2">
        <v>118.8</v>
      </c>
      <c r="O96" s="2">
        <v>131.69999999999999</v>
      </c>
      <c r="P96" s="2">
        <v>131.1</v>
      </c>
      <c r="Q96" s="2">
        <v>134.19999999999999</v>
      </c>
      <c r="R96" s="2">
        <v>123.7</v>
      </c>
      <c r="S96" s="2">
        <v>118.2</v>
      </c>
      <c r="T96" s="2">
        <v>122.9</v>
      </c>
      <c r="U96" s="2">
        <v>120.9</v>
      </c>
      <c r="V96" s="2">
        <v>115.3</v>
      </c>
      <c r="W96" s="2">
        <v>120</v>
      </c>
      <c r="X96" s="2">
        <v>116.6</v>
      </c>
      <c r="Y96" s="2">
        <v>109.9</v>
      </c>
      <c r="Z96" s="2">
        <v>117.2</v>
      </c>
      <c r="AA96" s="2">
        <v>126.2</v>
      </c>
      <c r="AB96" s="2">
        <v>112</v>
      </c>
      <c r="AC96" s="2">
        <v>116.2</v>
      </c>
      <c r="AD96" s="2">
        <v>123.2</v>
      </c>
      <c r="AE96" s="2">
        <f t="shared" si="10"/>
        <v>1658.8999999999999</v>
      </c>
      <c r="AF96" s="2">
        <f t="shared" si="11"/>
        <v>364.8</v>
      </c>
      <c r="AG96" s="2">
        <f t="shared" si="12"/>
        <v>240.9</v>
      </c>
      <c r="AH96" s="2">
        <f t="shared" si="13"/>
        <v>115.3</v>
      </c>
      <c r="AI96" s="2">
        <f t="shared" si="14"/>
        <v>832.3</v>
      </c>
      <c r="AJ96" s="2">
        <f t="shared" si="15"/>
        <v>127.6076923076923</v>
      </c>
      <c r="AK96" s="2">
        <f t="shared" si="16"/>
        <v>121.60000000000001</v>
      </c>
      <c r="AL96" s="2">
        <f t="shared" si="17"/>
        <v>120.45</v>
      </c>
      <c r="AM96" s="2">
        <f t="shared" si="18"/>
        <v>115.3</v>
      </c>
      <c r="AN96" s="2">
        <f t="shared" si="19"/>
        <v>118.89999999999999</v>
      </c>
    </row>
    <row r="97" spans="1:40" x14ac:dyDescent="0.3">
      <c r="A97" t="s">
        <v>33</v>
      </c>
      <c r="B97">
        <v>2015</v>
      </c>
      <c r="C97" t="s">
        <v>40</v>
      </c>
      <c r="D97" s="2">
        <v>124.2</v>
      </c>
      <c r="E97" s="2">
        <v>131.4</v>
      </c>
      <c r="F97" s="2">
        <v>120.1</v>
      </c>
      <c r="G97" s="2">
        <v>128.5</v>
      </c>
      <c r="H97" s="2">
        <v>111.4</v>
      </c>
      <c r="I97" s="2">
        <v>132.30000000000001</v>
      </c>
      <c r="J97" s="2">
        <v>157.6</v>
      </c>
      <c r="K97" s="2">
        <v>144</v>
      </c>
      <c r="L97" s="2">
        <v>90.5</v>
      </c>
      <c r="M97" s="2">
        <v>126.8</v>
      </c>
      <c r="N97" s="2">
        <v>120.4</v>
      </c>
      <c r="O97" s="2">
        <v>132.1</v>
      </c>
      <c r="P97" s="2">
        <v>130.30000000000001</v>
      </c>
      <c r="Q97" s="2">
        <v>131.19999999999999</v>
      </c>
      <c r="R97" s="2">
        <v>127.2</v>
      </c>
      <c r="S97" s="2">
        <v>122.9</v>
      </c>
      <c r="T97" s="2">
        <v>126.6</v>
      </c>
      <c r="U97" s="2">
        <v>120.9</v>
      </c>
      <c r="V97" s="2">
        <v>120.6</v>
      </c>
      <c r="W97" s="2">
        <v>122</v>
      </c>
      <c r="X97" s="2">
        <v>119.4</v>
      </c>
      <c r="Y97" s="2">
        <v>111.7</v>
      </c>
      <c r="Z97" s="2">
        <v>117.8</v>
      </c>
      <c r="AA97" s="2">
        <v>125.1</v>
      </c>
      <c r="AB97" s="2">
        <v>112.3</v>
      </c>
      <c r="AC97" s="2">
        <v>117.2</v>
      </c>
      <c r="AD97" s="2">
        <v>124.8</v>
      </c>
      <c r="AE97" s="2">
        <f t="shared" si="10"/>
        <v>1649.6</v>
      </c>
      <c r="AF97" s="2">
        <f t="shared" si="11"/>
        <v>376.70000000000005</v>
      </c>
      <c r="AG97" s="2">
        <f t="shared" si="12"/>
        <v>242.9</v>
      </c>
      <c r="AH97" s="2">
        <f t="shared" si="13"/>
        <v>120.6</v>
      </c>
      <c r="AI97" s="2">
        <f t="shared" si="14"/>
        <v>834.7</v>
      </c>
      <c r="AJ97" s="2">
        <f t="shared" si="15"/>
        <v>126.89230769230768</v>
      </c>
      <c r="AK97" s="2">
        <f t="shared" si="16"/>
        <v>125.56666666666668</v>
      </c>
      <c r="AL97" s="2">
        <f t="shared" si="17"/>
        <v>121.45</v>
      </c>
      <c r="AM97" s="2">
        <f t="shared" si="18"/>
        <v>120.6</v>
      </c>
      <c r="AN97" s="2">
        <f t="shared" si="19"/>
        <v>119.24285714285715</v>
      </c>
    </row>
    <row r="98" spans="1:40" x14ac:dyDescent="0.3">
      <c r="A98" t="s">
        <v>30</v>
      </c>
      <c r="B98">
        <v>2015</v>
      </c>
      <c r="C98" t="s">
        <v>41</v>
      </c>
      <c r="D98" s="2">
        <v>125.1</v>
      </c>
      <c r="E98" s="2">
        <v>131.1</v>
      </c>
      <c r="F98" s="2">
        <v>120.7</v>
      </c>
      <c r="G98" s="2">
        <v>129.19999999999999</v>
      </c>
      <c r="H98" s="2">
        <v>114.7</v>
      </c>
      <c r="I98" s="2">
        <v>132.30000000000001</v>
      </c>
      <c r="J98" s="2">
        <v>158.9</v>
      </c>
      <c r="K98" s="2">
        <v>142.1</v>
      </c>
      <c r="L98" s="2">
        <v>92.5</v>
      </c>
      <c r="M98" s="2">
        <v>125.4</v>
      </c>
      <c r="N98" s="2">
        <v>121.9</v>
      </c>
      <c r="O98" s="2">
        <v>132.69999999999999</v>
      </c>
      <c r="P98" s="2">
        <v>131</v>
      </c>
      <c r="Q98" s="2">
        <v>131</v>
      </c>
      <c r="R98" s="2">
        <v>130.4</v>
      </c>
      <c r="S98" s="2">
        <v>126.8</v>
      </c>
      <c r="T98" s="2">
        <v>129.9</v>
      </c>
      <c r="U98" s="2">
        <f>AVERAGE(U99,U100)</f>
        <v>121.6</v>
      </c>
      <c r="V98" s="2">
        <v>123.7</v>
      </c>
      <c r="W98" s="2">
        <v>124.5</v>
      </c>
      <c r="X98" s="2">
        <v>121.4</v>
      </c>
      <c r="Y98" s="2">
        <v>113.8</v>
      </c>
      <c r="Z98" s="2">
        <v>119.6</v>
      </c>
      <c r="AA98" s="2">
        <v>124.5</v>
      </c>
      <c r="AB98" s="2">
        <v>113.7</v>
      </c>
      <c r="AC98" s="2">
        <v>118.8</v>
      </c>
      <c r="AD98" s="2">
        <v>127</v>
      </c>
      <c r="AE98" s="2">
        <f t="shared" si="10"/>
        <v>1657.6000000000001</v>
      </c>
      <c r="AF98" s="2">
        <f t="shared" si="11"/>
        <v>387.1</v>
      </c>
      <c r="AG98" s="2">
        <f t="shared" si="12"/>
        <v>246.1</v>
      </c>
      <c r="AH98" s="2">
        <f t="shared" si="13"/>
        <v>123.7</v>
      </c>
      <c r="AI98" s="2">
        <f t="shared" si="14"/>
        <v>842.8</v>
      </c>
      <c r="AJ98" s="2">
        <f t="shared" si="15"/>
        <v>127.50769230769232</v>
      </c>
      <c r="AK98" s="2">
        <f t="shared" si="16"/>
        <v>129.03333333333333</v>
      </c>
      <c r="AL98" s="2">
        <f t="shared" si="17"/>
        <v>123.05</v>
      </c>
      <c r="AM98" s="2">
        <f t="shared" si="18"/>
        <v>123.7</v>
      </c>
      <c r="AN98" s="2">
        <f t="shared" si="19"/>
        <v>120.39999999999999</v>
      </c>
    </row>
    <row r="99" spans="1:40" x14ac:dyDescent="0.3">
      <c r="A99" t="s">
        <v>32</v>
      </c>
      <c r="B99">
        <v>2015</v>
      </c>
      <c r="C99" t="s">
        <v>41</v>
      </c>
      <c r="D99" s="2">
        <v>123.4</v>
      </c>
      <c r="E99" s="2">
        <v>129</v>
      </c>
      <c r="F99" s="2">
        <v>115.6</v>
      </c>
      <c r="G99" s="2">
        <v>128.30000000000001</v>
      </c>
      <c r="H99" s="2">
        <v>107</v>
      </c>
      <c r="I99" s="2">
        <v>124</v>
      </c>
      <c r="J99" s="2">
        <v>168.5</v>
      </c>
      <c r="K99" s="2">
        <v>165.4</v>
      </c>
      <c r="L99" s="2">
        <v>86.3</v>
      </c>
      <c r="M99" s="2">
        <v>134.4</v>
      </c>
      <c r="N99" s="2">
        <v>119.1</v>
      </c>
      <c r="O99" s="2">
        <v>132.30000000000001</v>
      </c>
      <c r="P99" s="2">
        <v>131.5</v>
      </c>
      <c r="Q99" s="2">
        <v>134.69999999999999</v>
      </c>
      <c r="R99" s="2">
        <v>124</v>
      </c>
      <c r="S99" s="2">
        <v>118.6</v>
      </c>
      <c r="T99" s="2">
        <v>123.2</v>
      </c>
      <c r="U99" s="2">
        <v>121.6</v>
      </c>
      <c r="V99" s="2">
        <v>115.1</v>
      </c>
      <c r="W99" s="2">
        <v>120.4</v>
      </c>
      <c r="X99" s="2">
        <v>117.1</v>
      </c>
      <c r="Y99" s="2">
        <v>109.1</v>
      </c>
      <c r="Z99" s="2">
        <v>117.3</v>
      </c>
      <c r="AA99" s="2">
        <v>126.5</v>
      </c>
      <c r="AB99" s="2">
        <v>112.9</v>
      </c>
      <c r="AC99" s="2">
        <v>116.2</v>
      </c>
      <c r="AD99" s="2">
        <v>123.5</v>
      </c>
      <c r="AE99" s="2">
        <f t="shared" si="10"/>
        <v>1664.8</v>
      </c>
      <c r="AF99" s="2">
        <f t="shared" si="11"/>
        <v>365.8</v>
      </c>
      <c r="AG99" s="2">
        <f t="shared" si="12"/>
        <v>242</v>
      </c>
      <c r="AH99" s="2">
        <f t="shared" si="13"/>
        <v>115.1</v>
      </c>
      <c r="AI99" s="2">
        <f t="shared" si="14"/>
        <v>833.8</v>
      </c>
      <c r="AJ99" s="2">
        <f t="shared" si="15"/>
        <v>128.06153846153845</v>
      </c>
      <c r="AK99" s="2">
        <f t="shared" si="16"/>
        <v>121.93333333333334</v>
      </c>
      <c r="AL99" s="2">
        <f t="shared" si="17"/>
        <v>121</v>
      </c>
      <c r="AM99" s="2">
        <f t="shared" si="18"/>
        <v>115.1</v>
      </c>
      <c r="AN99" s="2">
        <f t="shared" si="19"/>
        <v>119.11428571428571</v>
      </c>
    </row>
    <row r="100" spans="1:40" x14ac:dyDescent="0.3">
      <c r="A100" t="s">
        <v>33</v>
      </c>
      <c r="B100">
        <v>2015</v>
      </c>
      <c r="C100" t="s">
        <v>41</v>
      </c>
      <c r="D100" s="2">
        <v>124.6</v>
      </c>
      <c r="E100" s="2">
        <v>130.4</v>
      </c>
      <c r="F100" s="2">
        <v>118.7</v>
      </c>
      <c r="G100" s="2">
        <v>128.9</v>
      </c>
      <c r="H100" s="2">
        <v>111.9</v>
      </c>
      <c r="I100" s="2">
        <v>128.4</v>
      </c>
      <c r="J100" s="2">
        <v>162.19999999999999</v>
      </c>
      <c r="K100" s="2">
        <v>150</v>
      </c>
      <c r="L100" s="2">
        <v>90.4</v>
      </c>
      <c r="M100" s="2">
        <v>128.4</v>
      </c>
      <c r="N100" s="2">
        <v>120.7</v>
      </c>
      <c r="O100" s="2">
        <v>132.5</v>
      </c>
      <c r="P100" s="2">
        <v>131.19999999999999</v>
      </c>
      <c r="Q100" s="2">
        <v>132</v>
      </c>
      <c r="R100" s="2">
        <v>127.9</v>
      </c>
      <c r="S100" s="2">
        <v>123.4</v>
      </c>
      <c r="T100" s="2">
        <v>127.2</v>
      </c>
      <c r="U100" s="2">
        <v>121.6</v>
      </c>
      <c r="V100" s="2">
        <v>120.4</v>
      </c>
      <c r="W100" s="2">
        <v>122.6</v>
      </c>
      <c r="X100" s="2">
        <v>119.8</v>
      </c>
      <c r="Y100" s="2">
        <v>111.3</v>
      </c>
      <c r="Z100" s="2">
        <v>118.3</v>
      </c>
      <c r="AA100" s="2">
        <v>125.7</v>
      </c>
      <c r="AB100" s="2">
        <v>113.4</v>
      </c>
      <c r="AC100" s="2">
        <v>117.5</v>
      </c>
      <c r="AD100" s="2">
        <v>125.4</v>
      </c>
      <c r="AE100" s="2">
        <f t="shared" si="10"/>
        <v>1658.3000000000002</v>
      </c>
      <c r="AF100" s="2">
        <f t="shared" si="11"/>
        <v>378.5</v>
      </c>
      <c r="AG100" s="2">
        <f t="shared" si="12"/>
        <v>244.2</v>
      </c>
      <c r="AH100" s="2">
        <f t="shared" si="13"/>
        <v>120.4</v>
      </c>
      <c r="AI100" s="2">
        <f t="shared" si="14"/>
        <v>838</v>
      </c>
      <c r="AJ100" s="2">
        <f t="shared" si="15"/>
        <v>127.56153846153848</v>
      </c>
      <c r="AK100" s="2">
        <f t="shared" si="16"/>
        <v>126.16666666666667</v>
      </c>
      <c r="AL100" s="2">
        <f t="shared" si="17"/>
        <v>122.1</v>
      </c>
      <c r="AM100" s="2">
        <f t="shared" si="18"/>
        <v>120.4</v>
      </c>
      <c r="AN100" s="2">
        <f t="shared" si="19"/>
        <v>119.71428571428571</v>
      </c>
    </row>
    <row r="101" spans="1:40" x14ac:dyDescent="0.3">
      <c r="A101" t="s">
        <v>30</v>
      </c>
      <c r="B101">
        <v>2015</v>
      </c>
      <c r="C101" t="s">
        <v>42</v>
      </c>
      <c r="D101" s="2">
        <v>125.6</v>
      </c>
      <c r="E101" s="2">
        <v>130.4</v>
      </c>
      <c r="F101" s="2">
        <v>120.8</v>
      </c>
      <c r="G101" s="2">
        <v>129.4</v>
      </c>
      <c r="H101" s="2">
        <v>115.8</v>
      </c>
      <c r="I101" s="2">
        <v>133.19999999999999</v>
      </c>
      <c r="J101" s="2">
        <v>157.69999999999999</v>
      </c>
      <c r="K101" s="2">
        <v>154.19999999999999</v>
      </c>
      <c r="L101" s="2">
        <v>93.7</v>
      </c>
      <c r="M101" s="2">
        <v>126.6</v>
      </c>
      <c r="N101" s="2">
        <v>122.3</v>
      </c>
      <c r="O101" s="2">
        <v>133.1</v>
      </c>
      <c r="P101" s="2">
        <v>131.80000000000001</v>
      </c>
      <c r="Q101" s="2">
        <v>131.5</v>
      </c>
      <c r="R101" s="2">
        <v>131.1</v>
      </c>
      <c r="S101" s="2">
        <v>127.3</v>
      </c>
      <c r="T101" s="2">
        <v>130.6</v>
      </c>
      <c r="U101" s="2">
        <f>AVERAGE(U102,U103)</f>
        <v>122.4</v>
      </c>
      <c r="V101" s="2">
        <v>124.4</v>
      </c>
      <c r="W101" s="2">
        <v>125.1</v>
      </c>
      <c r="X101" s="2">
        <v>122</v>
      </c>
      <c r="Y101" s="2">
        <v>113.8</v>
      </c>
      <c r="Z101" s="2">
        <v>120.1</v>
      </c>
      <c r="AA101" s="2">
        <v>125.1</v>
      </c>
      <c r="AB101" s="2">
        <v>114.2</v>
      </c>
      <c r="AC101" s="2">
        <v>119.2</v>
      </c>
      <c r="AD101" s="2">
        <v>127.7</v>
      </c>
      <c r="AE101" s="2">
        <f t="shared" si="10"/>
        <v>1674.6</v>
      </c>
      <c r="AF101" s="2">
        <f t="shared" si="11"/>
        <v>389</v>
      </c>
      <c r="AG101" s="2">
        <f t="shared" si="12"/>
        <v>247.5</v>
      </c>
      <c r="AH101" s="2">
        <f t="shared" si="13"/>
        <v>124.4</v>
      </c>
      <c r="AI101" s="2">
        <f t="shared" si="14"/>
        <v>845.90000000000009</v>
      </c>
      <c r="AJ101" s="2">
        <f t="shared" si="15"/>
        <v>128.8153846153846</v>
      </c>
      <c r="AK101" s="2">
        <f t="shared" si="16"/>
        <v>129.66666666666666</v>
      </c>
      <c r="AL101" s="2">
        <f t="shared" si="17"/>
        <v>123.75</v>
      </c>
      <c r="AM101" s="2">
        <f t="shared" si="18"/>
        <v>124.4</v>
      </c>
      <c r="AN101" s="2">
        <f t="shared" si="19"/>
        <v>120.84285714285716</v>
      </c>
    </row>
    <row r="102" spans="1:40" x14ac:dyDescent="0.3">
      <c r="A102" t="s">
        <v>32</v>
      </c>
      <c r="B102">
        <v>2015</v>
      </c>
      <c r="C102" t="s">
        <v>42</v>
      </c>
      <c r="D102" s="2">
        <v>123.6</v>
      </c>
      <c r="E102" s="2">
        <v>128.6</v>
      </c>
      <c r="F102" s="2">
        <v>115.9</v>
      </c>
      <c r="G102" s="2">
        <v>128.5</v>
      </c>
      <c r="H102" s="2">
        <v>109</v>
      </c>
      <c r="I102" s="2">
        <v>124.1</v>
      </c>
      <c r="J102" s="2">
        <v>165.8</v>
      </c>
      <c r="K102" s="2">
        <v>187.2</v>
      </c>
      <c r="L102" s="2">
        <v>89.4</v>
      </c>
      <c r="M102" s="2">
        <v>135.80000000000001</v>
      </c>
      <c r="N102" s="2">
        <v>119.4</v>
      </c>
      <c r="O102" s="2">
        <v>132.9</v>
      </c>
      <c r="P102" s="2">
        <v>132.6</v>
      </c>
      <c r="Q102" s="2">
        <v>135.30000000000001</v>
      </c>
      <c r="R102" s="2">
        <v>124.4</v>
      </c>
      <c r="S102" s="2">
        <v>118.8</v>
      </c>
      <c r="T102" s="2">
        <v>123.6</v>
      </c>
      <c r="U102" s="2">
        <v>122.4</v>
      </c>
      <c r="V102" s="2">
        <v>114.9</v>
      </c>
      <c r="W102" s="2">
        <v>120.7</v>
      </c>
      <c r="X102" s="2">
        <v>117.7</v>
      </c>
      <c r="Y102" s="2">
        <v>109.3</v>
      </c>
      <c r="Z102" s="2">
        <v>117.7</v>
      </c>
      <c r="AA102" s="2">
        <v>126.5</v>
      </c>
      <c r="AB102" s="2">
        <v>113.5</v>
      </c>
      <c r="AC102" s="2">
        <v>116.5</v>
      </c>
      <c r="AD102" s="2">
        <v>124.2</v>
      </c>
      <c r="AE102" s="2">
        <f t="shared" si="10"/>
        <v>1692.8000000000002</v>
      </c>
      <c r="AF102" s="2">
        <f t="shared" si="11"/>
        <v>366.79999999999995</v>
      </c>
      <c r="AG102" s="2">
        <f t="shared" si="12"/>
        <v>243.10000000000002</v>
      </c>
      <c r="AH102" s="2">
        <f t="shared" si="13"/>
        <v>114.9</v>
      </c>
      <c r="AI102" s="2">
        <f t="shared" si="14"/>
        <v>836.5</v>
      </c>
      <c r="AJ102" s="2">
        <f t="shared" si="15"/>
        <v>130.21538461538464</v>
      </c>
      <c r="AK102" s="2">
        <f t="shared" si="16"/>
        <v>122.26666666666665</v>
      </c>
      <c r="AL102" s="2">
        <f t="shared" si="17"/>
        <v>121.55000000000001</v>
      </c>
      <c r="AM102" s="2">
        <f t="shared" si="18"/>
        <v>114.9</v>
      </c>
      <c r="AN102" s="2">
        <f t="shared" si="19"/>
        <v>119.5</v>
      </c>
    </row>
    <row r="103" spans="1:40" x14ac:dyDescent="0.3">
      <c r="A103" t="s">
        <v>33</v>
      </c>
      <c r="B103">
        <v>2015</v>
      </c>
      <c r="C103" t="s">
        <v>42</v>
      </c>
      <c r="D103" s="2">
        <v>125</v>
      </c>
      <c r="E103" s="2">
        <v>129.80000000000001</v>
      </c>
      <c r="F103" s="2">
        <v>118.9</v>
      </c>
      <c r="G103" s="2">
        <v>129.1</v>
      </c>
      <c r="H103" s="2">
        <v>113.3</v>
      </c>
      <c r="I103" s="2">
        <v>129</v>
      </c>
      <c r="J103" s="2">
        <v>160.4</v>
      </c>
      <c r="K103" s="2">
        <v>165.3</v>
      </c>
      <c r="L103" s="2">
        <v>92.3</v>
      </c>
      <c r="M103" s="2">
        <v>129.69999999999999</v>
      </c>
      <c r="N103" s="2">
        <v>121.1</v>
      </c>
      <c r="O103" s="2">
        <v>133</v>
      </c>
      <c r="P103" s="2">
        <v>132.1</v>
      </c>
      <c r="Q103" s="2">
        <v>132.5</v>
      </c>
      <c r="R103" s="2">
        <v>128.5</v>
      </c>
      <c r="S103" s="2">
        <v>123.8</v>
      </c>
      <c r="T103" s="2">
        <v>127.8</v>
      </c>
      <c r="U103" s="2">
        <v>122.4</v>
      </c>
      <c r="V103" s="2">
        <v>120.8</v>
      </c>
      <c r="W103" s="2">
        <v>123</v>
      </c>
      <c r="X103" s="2">
        <v>120.4</v>
      </c>
      <c r="Y103" s="2">
        <v>111.4</v>
      </c>
      <c r="Z103" s="2">
        <v>118.7</v>
      </c>
      <c r="AA103" s="2">
        <v>125.9</v>
      </c>
      <c r="AB103" s="2">
        <v>113.9</v>
      </c>
      <c r="AC103" s="2">
        <v>117.9</v>
      </c>
      <c r="AD103" s="2">
        <v>126.1</v>
      </c>
      <c r="AE103" s="2">
        <f t="shared" si="10"/>
        <v>1678.9999999999998</v>
      </c>
      <c r="AF103" s="2">
        <f t="shared" si="11"/>
        <v>380.1</v>
      </c>
      <c r="AG103" s="2">
        <f t="shared" si="12"/>
        <v>245.4</v>
      </c>
      <c r="AH103" s="2">
        <f t="shared" si="13"/>
        <v>120.8</v>
      </c>
      <c r="AI103" s="2">
        <f t="shared" si="14"/>
        <v>840.69999999999993</v>
      </c>
      <c r="AJ103" s="2">
        <f t="shared" si="15"/>
        <v>129.15384615384613</v>
      </c>
      <c r="AK103" s="2">
        <f t="shared" si="16"/>
        <v>126.7</v>
      </c>
      <c r="AL103" s="2">
        <f t="shared" si="17"/>
        <v>122.7</v>
      </c>
      <c r="AM103" s="2">
        <f t="shared" si="18"/>
        <v>120.8</v>
      </c>
      <c r="AN103" s="2">
        <f t="shared" si="19"/>
        <v>120.1</v>
      </c>
    </row>
    <row r="104" spans="1:40" x14ac:dyDescent="0.3">
      <c r="A104" t="s">
        <v>30</v>
      </c>
      <c r="B104">
        <v>2015</v>
      </c>
      <c r="C104" t="s">
        <v>44</v>
      </c>
      <c r="D104" s="2">
        <v>126.1</v>
      </c>
      <c r="E104" s="2">
        <v>130.6</v>
      </c>
      <c r="F104" s="2">
        <v>121.7</v>
      </c>
      <c r="G104" s="2">
        <v>129.5</v>
      </c>
      <c r="H104" s="2">
        <v>117.8</v>
      </c>
      <c r="I104" s="2">
        <v>132.1</v>
      </c>
      <c r="J104" s="2">
        <v>155.19999999999999</v>
      </c>
      <c r="K104" s="2">
        <v>160.80000000000001</v>
      </c>
      <c r="L104" s="2">
        <v>94.5</v>
      </c>
      <c r="M104" s="2">
        <v>128.30000000000001</v>
      </c>
      <c r="N104" s="2">
        <v>123.1</v>
      </c>
      <c r="O104" s="2">
        <v>134.19999999999999</v>
      </c>
      <c r="P104" s="2">
        <v>132.4</v>
      </c>
      <c r="Q104" s="2">
        <v>132.19999999999999</v>
      </c>
      <c r="R104" s="2">
        <v>132.1</v>
      </c>
      <c r="S104" s="2">
        <v>128.19999999999999</v>
      </c>
      <c r="T104" s="2">
        <v>131.5</v>
      </c>
      <c r="U104" s="2">
        <f>AVERAGE(U105,U106)</f>
        <v>122.9</v>
      </c>
      <c r="V104" s="2">
        <v>125.6</v>
      </c>
      <c r="W104" s="2">
        <v>125.6</v>
      </c>
      <c r="X104" s="2">
        <v>122.6</v>
      </c>
      <c r="Y104" s="2">
        <v>114</v>
      </c>
      <c r="Z104" s="2">
        <v>120.9</v>
      </c>
      <c r="AA104" s="2">
        <v>125.8</v>
      </c>
      <c r="AB104" s="2">
        <v>114.2</v>
      </c>
      <c r="AC104" s="2">
        <v>119.6</v>
      </c>
      <c r="AD104" s="2">
        <v>128.30000000000001</v>
      </c>
      <c r="AE104" s="2">
        <f t="shared" si="10"/>
        <v>1686.3</v>
      </c>
      <c r="AF104" s="2">
        <f t="shared" si="11"/>
        <v>391.79999999999995</v>
      </c>
      <c r="AG104" s="2">
        <f t="shared" si="12"/>
        <v>248.5</v>
      </c>
      <c r="AH104" s="2">
        <f t="shared" si="13"/>
        <v>125.6</v>
      </c>
      <c r="AI104" s="2">
        <f t="shared" si="14"/>
        <v>849.3</v>
      </c>
      <c r="AJ104" s="2">
        <f t="shared" si="15"/>
        <v>129.71538461538461</v>
      </c>
      <c r="AK104" s="2">
        <f t="shared" si="16"/>
        <v>130.6</v>
      </c>
      <c r="AL104" s="2">
        <f t="shared" si="17"/>
        <v>124.25</v>
      </c>
      <c r="AM104" s="2">
        <f t="shared" si="18"/>
        <v>125.6</v>
      </c>
      <c r="AN104" s="2">
        <f t="shared" si="19"/>
        <v>121.32857142857142</v>
      </c>
    </row>
    <row r="105" spans="1:40" x14ac:dyDescent="0.3">
      <c r="A105" t="s">
        <v>32</v>
      </c>
      <c r="B105">
        <v>2015</v>
      </c>
      <c r="C105" t="s">
        <v>44</v>
      </c>
      <c r="D105" s="2">
        <v>124</v>
      </c>
      <c r="E105" s="2">
        <v>129.80000000000001</v>
      </c>
      <c r="F105" s="2">
        <v>121.5</v>
      </c>
      <c r="G105" s="2">
        <v>128.6</v>
      </c>
      <c r="H105" s="2">
        <v>110</v>
      </c>
      <c r="I105" s="2">
        <v>123.7</v>
      </c>
      <c r="J105" s="2">
        <v>164.6</v>
      </c>
      <c r="K105" s="2">
        <v>191.6</v>
      </c>
      <c r="L105" s="2">
        <v>90.8</v>
      </c>
      <c r="M105" s="2">
        <v>137.1</v>
      </c>
      <c r="N105" s="2">
        <v>119.8</v>
      </c>
      <c r="O105" s="2">
        <v>133.69999999999999</v>
      </c>
      <c r="P105" s="2">
        <v>133.30000000000001</v>
      </c>
      <c r="Q105" s="2">
        <v>137.6</v>
      </c>
      <c r="R105" s="2">
        <v>125</v>
      </c>
      <c r="S105" s="2">
        <v>119.3</v>
      </c>
      <c r="T105" s="2">
        <v>124.2</v>
      </c>
      <c r="U105" s="2">
        <v>122.9</v>
      </c>
      <c r="V105" s="2">
        <v>115.1</v>
      </c>
      <c r="W105" s="2">
        <v>121</v>
      </c>
      <c r="X105" s="2">
        <v>118.1</v>
      </c>
      <c r="Y105" s="2">
        <v>109.3</v>
      </c>
      <c r="Z105" s="2">
        <v>117.9</v>
      </c>
      <c r="AA105" s="2">
        <v>126.6</v>
      </c>
      <c r="AB105" s="2">
        <v>113.3</v>
      </c>
      <c r="AC105" s="2">
        <v>116.6</v>
      </c>
      <c r="AD105" s="2">
        <v>124.6</v>
      </c>
      <c r="AE105" s="2">
        <f t="shared" si="10"/>
        <v>1708.4999999999998</v>
      </c>
      <c r="AF105" s="2">
        <f t="shared" si="11"/>
        <v>368.5</v>
      </c>
      <c r="AG105" s="2">
        <f t="shared" si="12"/>
        <v>243.9</v>
      </c>
      <c r="AH105" s="2">
        <f t="shared" si="13"/>
        <v>115.1</v>
      </c>
      <c r="AI105" s="2">
        <f t="shared" si="14"/>
        <v>839.4</v>
      </c>
      <c r="AJ105" s="2">
        <f t="shared" si="15"/>
        <v>131.42307692307691</v>
      </c>
      <c r="AK105" s="2">
        <f t="shared" si="16"/>
        <v>122.83333333333333</v>
      </c>
      <c r="AL105" s="2">
        <f t="shared" si="17"/>
        <v>121.95</v>
      </c>
      <c r="AM105" s="2">
        <f t="shared" si="18"/>
        <v>115.1</v>
      </c>
      <c r="AN105" s="2">
        <f t="shared" si="19"/>
        <v>119.91428571428571</v>
      </c>
    </row>
    <row r="106" spans="1:40" x14ac:dyDescent="0.3">
      <c r="A106" t="s">
        <v>33</v>
      </c>
      <c r="B106">
        <v>2015</v>
      </c>
      <c r="C106" t="s">
        <v>44</v>
      </c>
      <c r="D106" s="2">
        <v>125.4</v>
      </c>
      <c r="E106" s="2">
        <v>130.30000000000001</v>
      </c>
      <c r="F106" s="2">
        <v>121.6</v>
      </c>
      <c r="G106" s="2">
        <v>129.19999999999999</v>
      </c>
      <c r="H106" s="2">
        <v>114.9</v>
      </c>
      <c r="I106" s="2">
        <v>128.19999999999999</v>
      </c>
      <c r="J106" s="2">
        <v>158.4</v>
      </c>
      <c r="K106" s="2">
        <v>171.2</v>
      </c>
      <c r="L106" s="2">
        <v>93.3</v>
      </c>
      <c r="M106" s="2">
        <v>131.19999999999999</v>
      </c>
      <c r="N106" s="2">
        <v>121.7</v>
      </c>
      <c r="O106" s="2">
        <v>134</v>
      </c>
      <c r="P106" s="2">
        <v>132.69999999999999</v>
      </c>
      <c r="Q106" s="2">
        <v>133.6</v>
      </c>
      <c r="R106" s="2">
        <v>129.30000000000001</v>
      </c>
      <c r="S106" s="2">
        <v>124.5</v>
      </c>
      <c r="T106" s="2">
        <v>128.6</v>
      </c>
      <c r="U106" s="2">
        <v>122.9</v>
      </c>
      <c r="V106" s="2">
        <v>121.6</v>
      </c>
      <c r="W106" s="2">
        <v>123.4</v>
      </c>
      <c r="X106" s="2">
        <v>120.9</v>
      </c>
      <c r="Y106" s="2">
        <v>111.5</v>
      </c>
      <c r="Z106" s="2">
        <v>119.2</v>
      </c>
      <c r="AA106" s="2">
        <v>126.3</v>
      </c>
      <c r="AB106" s="2">
        <v>113.8</v>
      </c>
      <c r="AC106" s="2">
        <v>118.1</v>
      </c>
      <c r="AD106" s="2">
        <v>126.6</v>
      </c>
      <c r="AE106" s="2">
        <f t="shared" si="10"/>
        <v>1692.1</v>
      </c>
      <c r="AF106" s="2">
        <f t="shared" si="11"/>
        <v>382.4</v>
      </c>
      <c r="AG106" s="2">
        <f t="shared" si="12"/>
        <v>246.3</v>
      </c>
      <c r="AH106" s="2">
        <f t="shared" si="13"/>
        <v>121.6</v>
      </c>
      <c r="AI106" s="2">
        <f t="shared" si="14"/>
        <v>843.40000000000009</v>
      </c>
      <c r="AJ106" s="2">
        <f t="shared" si="15"/>
        <v>130.16153846153844</v>
      </c>
      <c r="AK106" s="2">
        <f t="shared" si="16"/>
        <v>127.46666666666665</v>
      </c>
      <c r="AL106" s="2">
        <f t="shared" si="17"/>
        <v>123.15</v>
      </c>
      <c r="AM106" s="2">
        <f t="shared" si="18"/>
        <v>121.6</v>
      </c>
      <c r="AN106" s="2">
        <f t="shared" si="19"/>
        <v>120.48571428571429</v>
      </c>
    </row>
    <row r="107" spans="1:40" x14ac:dyDescent="0.3">
      <c r="A107" t="s">
        <v>30</v>
      </c>
      <c r="B107">
        <v>2015</v>
      </c>
      <c r="C107" t="s">
        <v>45</v>
      </c>
      <c r="D107" s="2">
        <v>126.3</v>
      </c>
      <c r="E107" s="2">
        <v>131.30000000000001</v>
      </c>
      <c r="F107" s="2">
        <v>123.3</v>
      </c>
      <c r="G107" s="2">
        <v>129.80000000000001</v>
      </c>
      <c r="H107" s="2">
        <v>118.3</v>
      </c>
      <c r="I107" s="2">
        <v>131.6</v>
      </c>
      <c r="J107" s="2">
        <v>145.5</v>
      </c>
      <c r="K107" s="2">
        <v>162.1</v>
      </c>
      <c r="L107" s="2">
        <v>95.4</v>
      </c>
      <c r="M107" s="2">
        <v>128.9</v>
      </c>
      <c r="N107" s="2">
        <v>123.3</v>
      </c>
      <c r="O107" s="2">
        <v>135.1</v>
      </c>
      <c r="P107" s="2">
        <v>131.4</v>
      </c>
      <c r="Q107" s="2">
        <v>133.1</v>
      </c>
      <c r="R107" s="2">
        <v>132.5</v>
      </c>
      <c r="S107" s="2">
        <v>128.5</v>
      </c>
      <c r="T107" s="2">
        <v>131.9</v>
      </c>
      <c r="U107" s="2">
        <f>AVERAGE(U108,U109)</f>
        <v>122.4</v>
      </c>
      <c r="V107" s="2">
        <v>125.7</v>
      </c>
      <c r="W107" s="2">
        <v>126</v>
      </c>
      <c r="X107" s="2">
        <v>123.1</v>
      </c>
      <c r="Y107" s="2">
        <v>114</v>
      </c>
      <c r="Z107" s="2">
        <v>121.6</v>
      </c>
      <c r="AA107" s="2">
        <v>125.6</v>
      </c>
      <c r="AB107" s="2">
        <v>114.1</v>
      </c>
      <c r="AC107" s="2">
        <v>119.8</v>
      </c>
      <c r="AD107" s="2">
        <v>127.9</v>
      </c>
      <c r="AE107" s="2">
        <f t="shared" si="10"/>
        <v>1682.3000000000002</v>
      </c>
      <c r="AF107" s="2">
        <f t="shared" si="11"/>
        <v>392.9</v>
      </c>
      <c r="AG107" s="2">
        <f t="shared" si="12"/>
        <v>248.4</v>
      </c>
      <c r="AH107" s="2">
        <f t="shared" si="13"/>
        <v>125.7</v>
      </c>
      <c r="AI107" s="2">
        <f t="shared" si="14"/>
        <v>851.3</v>
      </c>
      <c r="AJ107" s="2">
        <f t="shared" si="15"/>
        <v>129.40769230769232</v>
      </c>
      <c r="AK107" s="2">
        <f t="shared" si="16"/>
        <v>130.96666666666667</v>
      </c>
      <c r="AL107" s="2">
        <f t="shared" si="17"/>
        <v>124.2</v>
      </c>
      <c r="AM107" s="2">
        <f t="shared" si="18"/>
        <v>125.7</v>
      </c>
      <c r="AN107" s="2">
        <f t="shared" si="19"/>
        <v>121.61428571428571</v>
      </c>
    </row>
    <row r="108" spans="1:40" x14ac:dyDescent="0.3">
      <c r="A108" t="s">
        <v>32</v>
      </c>
      <c r="B108">
        <v>2015</v>
      </c>
      <c r="C108" t="s">
        <v>45</v>
      </c>
      <c r="D108" s="2">
        <v>124.3</v>
      </c>
      <c r="E108" s="2">
        <v>131.69999999999999</v>
      </c>
      <c r="F108" s="2">
        <v>127.1</v>
      </c>
      <c r="G108" s="2">
        <v>128.6</v>
      </c>
      <c r="H108" s="2">
        <v>110</v>
      </c>
      <c r="I108" s="2">
        <v>120.8</v>
      </c>
      <c r="J108" s="2">
        <v>149</v>
      </c>
      <c r="K108" s="2">
        <v>190.1</v>
      </c>
      <c r="L108" s="2">
        <v>92.7</v>
      </c>
      <c r="M108" s="2">
        <v>138.6</v>
      </c>
      <c r="N108" s="2">
        <v>120.2</v>
      </c>
      <c r="O108" s="2">
        <v>134.19999999999999</v>
      </c>
      <c r="P108" s="2">
        <v>131.5</v>
      </c>
      <c r="Q108" s="2">
        <v>138.19999999999999</v>
      </c>
      <c r="R108" s="2">
        <v>125.4</v>
      </c>
      <c r="S108" s="2">
        <v>119.5</v>
      </c>
      <c r="T108" s="2">
        <v>124.5</v>
      </c>
      <c r="U108" s="2">
        <v>122.4</v>
      </c>
      <c r="V108" s="2">
        <v>116</v>
      </c>
      <c r="W108" s="2">
        <v>121</v>
      </c>
      <c r="X108" s="2">
        <v>118.6</v>
      </c>
      <c r="Y108" s="2">
        <v>109.3</v>
      </c>
      <c r="Z108" s="2">
        <v>118.1</v>
      </c>
      <c r="AA108" s="2">
        <v>126.6</v>
      </c>
      <c r="AB108" s="2">
        <v>113.2</v>
      </c>
      <c r="AC108" s="2">
        <v>116.7</v>
      </c>
      <c r="AD108" s="2">
        <v>124</v>
      </c>
      <c r="AE108" s="2">
        <f t="shared" si="10"/>
        <v>1698.8</v>
      </c>
      <c r="AF108" s="2">
        <f t="shared" si="11"/>
        <v>369.4</v>
      </c>
      <c r="AG108" s="2">
        <f t="shared" si="12"/>
        <v>243.4</v>
      </c>
      <c r="AH108" s="2">
        <f t="shared" si="13"/>
        <v>116</v>
      </c>
      <c r="AI108" s="2">
        <f t="shared" si="14"/>
        <v>840.7</v>
      </c>
      <c r="AJ108" s="2">
        <f t="shared" si="15"/>
        <v>130.67692307692306</v>
      </c>
      <c r="AK108" s="2">
        <f t="shared" si="16"/>
        <v>123.13333333333333</v>
      </c>
      <c r="AL108" s="2">
        <f t="shared" si="17"/>
        <v>121.7</v>
      </c>
      <c r="AM108" s="2">
        <f t="shared" si="18"/>
        <v>116</v>
      </c>
      <c r="AN108" s="2">
        <f t="shared" si="19"/>
        <v>120.10000000000001</v>
      </c>
    </row>
    <row r="109" spans="1:40" x14ac:dyDescent="0.3">
      <c r="A109" t="s">
        <v>33</v>
      </c>
      <c r="B109">
        <v>2015</v>
      </c>
      <c r="C109" t="s">
        <v>45</v>
      </c>
      <c r="D109" s="2">
        <v>125.7</v>
      </c>
      <c r="E109" s="2">
        <v>131.4</v>
      </c>
      <c r="F109" s="2">
        <v>124.8</v>
      </c>
      <c r="G109" s="2">
        <v>129.4</v>
      </c>
      <c r="H109" s="2">
        <v>115.3</v>
      </c>
      <c r="I109" s="2">
        <v>126.6</v>
      </c>
      <c r="J109" s="2">
        <v>146.69999999999999</v>
      </c>
      <c r="K109" s="2">
        <v>171.5</v>
      </c>
      <c r="L109" s="2">
        <v>94.5</v>
      </c>
      <c r="M109" s="2">
        <v>132.1</v>
      </c>
      <c r="N109" s="2">
        <v>122</v>
      </c>
      <c r="O109" s="2">
        <v>134.69999999999999</v>
      </c>
      <c r="P109" s="2">
        <v>131.4</v>
      </c>
      <c r="Q109" s="2">
        <v>134.5</v>
      </c>
      <c r="R109" s="2">
        <v>129.69999999999999</v>
      </c>
      <c r="S109" s="2">
        <v>124.8</v>
      </c>
      <c r="T109" s="2">
        <v>129</v>
      </c>
      <c r="U109" s="2">
        <v>122.4</v>
      </c>
      <c r="V109" s="2">
        <v>122</v>
      </c>
      <c r="W109" s="2">
        <v>123.6</v>
      </c>
      <c r="X109" s="2">
        <v>121.4</v>
      </c>
      <c r="Y109" s="2">
        <v>111.5</v>
      </c>
      <c r="Z109" s="2">
        <v>119.6</v>
      </c>
      <c r="AA109" s="2">
        <v>126.2</v>
      </c>
      <c r="AB109" s="2">
        <v>113.7</v>
      </c>
      <c r="AC109" s="2">
        <v>118.3</v>
      </c>
      <c r="AD109" s="2">
        <v>126.1</v>
      </c>
      <c r="AE109" s="2">
        <f t="shared" si="10"/>
        <v>1686.1000000000001</v>
      </c>
      <c r="AF109" s="2">
        <f t="shared" si="11"/>
        <v>383.5</v>
      </c>
      <c r="AG109" s="2">
        <f t="shared" si="12"/>
        <v>246</v>
      </c>
      <c r="AH109" s="2">
        <f t="shared" si="13"/>
        <v>122</v>
      </c>
      <c r="AI109" s="2">
        <f t="shared" si="14"/>
        <v>845.19999999999993</v>
      </c>
      <c r="AJ109" s="2">
        <f t="shared" si="15"/>
        <v>129.70000000000002</v>
      </c>
      <c r="AK109" s="2">
        <f t="shared" si="16"/>
        <v>127.83333333333333</v>
      </c>
      <c r="AL109" s="2">
        <f t="shared" si="17"/>
        <v>123</v>
      </c>
      <c r="AM109" s="2">
        <f t="shared" si="18"/>
        <v>122</v>
      </c>
      <c r="AN109" s="2">
        <f t="shared" si="19"/>
        <v>120.74285714285713</v>
      </c>
    </row>
    <row r="110" spans="1:40" x14ac:dyDescent="0.3">
      <c r="A110" t="s">
        <v>30</v>
      </c>
      <c r="B110">
        <v>2016</v>
      </c>
      <c r="C110" t="s">
        <v>31</v>
      </c>
      <c r="D110" s="2">
        <v>126.8</v>
      </c>
      <c r="E110" s="2">
        <v>133.19999999999999</v>
      </c>
      <c r="F110" s="2">
        <v>126.5</v>
      </c>
      <c r="G110" s="2">
        <v>130.30000000000001</v>
      </c>
      <c r="H110" s="2">
        <v>118.9</v>
      </c>
      <c r="I110" s="2">
        <v>131.6</v>
      </c>
      <c r="J110" s="2">
        <v>140.1</v>
      </c>
      <c r="K110" s="2">
        <v>163.80000000000001</v>
      </c>
      <c r="L110" s="2">
        <v>97.7</v>
      </c>
      <c r="M110" s="2">
        <v>129.6</v>
      </c>
      <c r="N110" s="2">
        <v>124.3</v>
      </c>
      <c r="O110" s="2">
        <v>135.9</v>
      </c>
      <c r="P110" s="2">
        <v>131.4</v>
      </c>
      <c r="Q110" s="2">
        <v>133.6</v>
      </c>
      <c r="R110" s="2">
        <v>133.19999999999999</v>
      </c>
      <c r="S110" s="2">
        <v>128.9</v>
      </c>
      <c r="T110" s="2">
        <v>132.6</v>
      </c>
      <c r="U110" s="2">
        <f>AVERAGE(U111,U112)</f>
        <v>123.4</v>
      </c>
      <c r="V110" s="2">
        <v>126.2</v>
      </c>
      <c r="W110" s="2">
        <v>126.6</v>
      </c>
      <c r="X110" s="2">
        <v>123.7</v>
      </c>
      <c r="Y110" s="2">
        <v>113.6</v>
      </c>
      <c r="Z110" s="2">
        <v>121.4</v>
      </c>
      <c r="AA110" s="2">
        <v>126.2</v>
      </c>
      <c r="AB110" s="2">
        <v>114.9</v>
      </c>
      <c r="AC110" s="2">
        <v>120.1</v>
      </c>
      <c r="AD110" s="2">
        <v>128.1</v>
      </c>
      <c r="AE110" s="2">
        <f t="shared" si="10"/>
        <v>1690.1000000000001</v>
      </c>
      <c r="AF110" s="2">
        <f t="shared" si="11"/>
        <v>394.70000000000005</v>
      </c>
      <c r="AG110" s="2">
        <f t="shared" si="12"/>
        <v>250</v>
      </c>
      <c r="AH110" s="2">
        <f t="shared" si="13"/>
        <v>126.2</v>
      </c>
      <c r="AI110" s="2">
        <f t="shared" si="14"/>
        <v>853.50000000000011</v>
      </c>
      <c r="AJ110" s="2">
        <f t="shared" si="15"/>
        <v>130.00769230769231</v>
      </c>
      <c r="AK110" s="2">
        <f t="shared" si="16"/>
        <v>131.56666666666669</v>
      </c>
      <c r="AL110" s="2">
        <f t="shared" si="17"/>
        <v>125</v>
      </c>
      <c r="AM110" s="2">
        <f t="shared" si="18"/>
        <v>126.2</v>
      </c>
      <c r="AN110" s="2">
        <f t="shared" si="19"/>
        <v>121.92857142857144</v>
      </c>
    </row>
    <row r="111" spans="1:40" x14ac:dyDescent="0.3">
      <c r="A111" t="s">
        <v>32</v>
      </c>
      <c r="B111">
        <v>2016</v>
      </c>
      <c r="C111" t="s">
        <v>31</v>
      </c>
      <c r="D111" s="2">
        <v>124.7</v>
      </c>
      <c r="E111" s="2">
        <v>135.9</v>
      </c>
      <c r="F111" s="2">
        <v>132</v>
      </c>
      <c r="G111" s="2">
        <v>129.19999999999999</v>
      </c>
      <c r="H111" s="2">
        <v>109.7</v>
      </c>
      <c r="I111" s="2">
        <v>119</v>
      </c>
      <c r="J111" s="2">
        <v>144.1</v>
      </c>
      <c r="K111" s="2">
        <v>184.2</v>
      </c>
      <c r="L111" s="2">
        <v>96.7</v>
      </c>
      <c r="M111" s="2">
        <v>139.5</v>
      </c>
      <c r="N111" s="2">
        <v>120.5</v>
      </c>
      <c r="O111" s="2">
        <v>134.69999999999999</v>
      </c>
      <c r="P111" s="2">
        <v>131.19999999999999</v>
      </c>
      <c r="Q111" s="2">
        <v>139.5</v>
      </c>
      <c r="R111" s="2">
        <v>125.8</v>
      </c>
      <c r="S111" s="2">
        <v>119.8</v>
      </c>
      <c r="T111" s="2">
        <v>124.9</v>
      </c>
      <c r="U111" s="2">
        <v>123.4</v>
      </c>
      <c r="V111" s="2">
        <v>116.9</v>
      </c>
      <c r="W111" s="2">
        <v>121.6</v>
      </c>
      <c r="X111" s="2">
        <v>119.1</v>
      </c>
      <c r="Y111" s="2">
        <v>108.9</v>
      </c>
      <c r="Z111" s="2">
        <v>118.5</v>
      </c>
      <c r="AA111" s="2">
        <v>126.4</v>
      </c>
      <c r="AB111" s="2">
        <v>114</v>
      </c>
      <c r="AC111" s="2">
        <v>116.8</v>
      </c>
      <c r="AD111" s="2">
        <v>124.2</v>
      </c>
      <c r="AE111" s="2">
        <f t="shared" si="10"/>
        <v>1701.4</v>
      </c>
      <c r="AF111" s="2">
        <f t="shared" si="11"/>
        <v>370.5</v>
      </c>
      <c r="AG111" s="2">
        <f t="shared" si="12"/>
        <v>245</v>
      </c>
      <c r="AH111" s="2">
        <f t="shared" si="13"/>
        <v>116.9</v>
      </c>
      <c r="AI111" s="2">
        <f t="shared" si="14"/>
        <v>843.19999999999993</v>
      </c>
      <c r="AJ111" s="2">
        <f t="shared" si="15"/>
        <v>130.87692307692308</v>
      </c>
      <c r="AK111" s="2">
        <f t="shared" si="16"/>
        <v>123.5</v>
      </c>
      <c r="AL111" s="2">
        <f t="shared" si="17"/>
        <v>122.5</v>
      </c>
      <c r="AM111" s="2">
        <f t="shared" si="18"/>
        <v>116.9</v>
      </c>
      <c r="AN111" s="2">
        <f t="shared" si="19"/>
        <v>120.45714285714284</v>
      </c>
    </row>
    <row r="112" spans="1:40" x14ac:dyDescent="0.3">
      <c r="A112" t="s">
        <v>33</v>
      </c>
      <c r="B112">
        <v>2016</v>
      </c>
      <c r="C112" t="s">
        <v>31</v>
      </c>
      <c r="D112" s="2">
        <v>126.1</v>
      </c>
      <c r="E112" s="2">
        <v>134.1</v>
      </c>
      <c r="F112" s="2">
        <v>128.6</v>
      </c>
      <c r="G112" s="2">
        <v>129.9</v>
      </c>
      <c r="H112" s="2">
        <v>115.5</v>
      </c>
      <c r="I112" s="2">
        <v>125.7</v>
      </c>
      <c r="J112" s="2">
        <v>141.5</v>
      </c>
      <c r="K112" s="2">
        <v>170.7</v>
      </c>
      <c r="L112" s="2">
        <v>97.4</v>
      </c>
      <c r="M112" s="2">
        <v>132.9</v>
      </c>
      <c r="N112" s="2">
        <v>122.7</v>
      </c>
      <c r="O112" s="2">
        <v>135.30000000000001</v>
      </c>
      <c r="P112" s="2">
        <v>131.30000000000001</v>
      </c>
      <c r="Q112" s="2">
        <v>135.19999999999999</v>
      </c>
      <c r="R112" s="2">
        <v>130.30000000000001</v>
      </c>
      <c r="S112" s="2">
        <v>125.1</v>
      </c>
      <c r="T112" s="2">
        <v>129.5</v>
      </c>
      <c r="U112" s="2">
        <v>123.4</v>
      </c>
      <c r="V112" s="2">
        <v>122.7</v>
      </c>
      <c r="W112" s="2">
        <v>124.2</v>
      </c>
      <c r="X112" s="2">
        <v>122</v>
      </c>
      <c r="Y112" s="2">
        <v>111.1</v>
      </c>
      <c r="Z112" s="2">
        <v>119.8</v>
      </c>
      <c r="AA112" s="2">
        <v>126.3</v>
      </c>
      <c r="AB112" s="2">
        <v>114.5</v>
      </c>
      <c r="AC112" s="2">
        <v>118.5</v>
      </c>
      <c r="AD112" s="2">
        <v>126.3</v>
      </c>
      <c r="AE112" s="2">
        <f t="shared" si="10"/>
        <v>1691.7</v>
      </c>
      <c r="AF112" s="2">
        <f t="shared" si="11"/>
        <v>384.9</v>
      </c>
      <c r="AG112" s="2">
        <f t="shared" si="12"/>
        <v>247.60000000000002</v>
      </c>
      <c r="AH112" s="2">
        <f t="shared" si="13"/>
        <v>122.7</v>
      </c>
      <c r="AI112" s="2">
        <f t="shared" si="14"/>
        <v>847.40000000000009</v>
      </c>
      <c r="AJ112" s="2">
        <f t="shared" si="15"/>
        <v>130.13076923076923</v>
      </c>
      <c r="AK112" s="2">
        <f t="shared" si="16"/>
        <v>128.29999999999998</v>
      </c>
      <c r="AL112" s="2">
        <f t="shared" si="17"/>
        <v>123.80000000000001</v>
      </c>
      <c r="AM112" s="2">
        <f t="shared" si="18"/>
        <v>122.7</v>
      </c>
      <c r="AN112" s="2">
        <f t="shared" si="19"/>
        <v>121.05714285714286</v>
      </c>
    </row>
    <row r="113" spans="1:40" x14ac:dyDescent="0.3">
      <c r="A113" t="s">
        <v>30</v>
      </c>
      <c r="B113">
        <v>2016</v>
      </c>
      <c r="C113" t="s">
        <v>34</v>
      </c>
      <c r="D113" s="2">
        <v>127.1</v>
      </c>
      <c r="E113" s="2">
        <v>133.69999999999999</v>
      </c>
      <c r="F113" s="2">
        <v>127.7</v>
      </c>
      <c r="G113" s="2">
        <v>130.69999999999999</v>
      </c>
      <c r="H113" s="2">
        <v>118.5</v>
      </c>
      <c r="I113" s="2">
        <v>130.4</v>
      </c>
      <c r="J113" s="2">
        <v>130.9</v>
      </c>
      <c r="K113" s="2">
        <v>162.80000000000001</v>
      </c>
      <c r="L113" s="2">
        <v>98.7</v>
      </c>
      <c r="M113" s="2">
        <v>130.6</v>
      </c>
      <c r="N113" s="2">
        <v>124.8</v>
      </c>
      <c r="O113" s="2">
        <v>136.4</v>
      </c>
      <c r="P113" s="2">
        <v>130.30000000000001</v>
      </c>
      <c r="Q113" s="2">
        <v>134.4</v>
      </c>
      <c r="R113" s="2">
        <v>133.9</v>
      </c>
      <c r="S113" s="2">
        <v>129.80000000000001</v>
      </c>
      <c r="T113" s="2">
        <v>133.4</v>
      </c>
      <c r="U113" s="2">
        <f>AVERAGE(U114,U115)</f>
        <v>124.4</v>
      </c>
      <c r="V113" s="2">
        <v>127.5</v>
      </c>
      <c r="W113" s="2">
        <v>127.1</v>
      </c>
      <c r="X113" s="2">
        <v>124.3</v>
      </c>
      <c r="Y113" s="2">
        <v>113.9</v>
      </c>
      <c r="Z113" s="2">
        <v>122.3</v>
      </c>
      <c r="AA113" s="2">
        <v>127.1</v>
      </c>
      <c r="AB113" s="2">
        <v>116.8</v>
      </c>
      <c r="AC113" s="2">
        <v>120.9</v>
      </c>
      <c r="AD113" s="2">
        <v>127.9</v>
      </c>
      <c r="AE113" s="2">
        <f t="shared" si="10"/>
        <v>1682.6</v>
      </c>
      <c r="AF113" s="2">
        <f t="shared" si="11"/>
        <v>397.1</v>
      </c>
      <c r="AG113" s="2">
        <f t="shared" si="12"/>
        <v>251.5</v>
      </c>
      <c r="AH113" s="2">
        <f t="shared" si="13"/>
        <v>127.5</v>
      </c>
      <c r="AI113" s="2">
        <f t="shared" si="14"/>
        <v>859.69999999999993</v>
      </c>
      <c r="AJ113" s="2">
        <f t="shared" si="15"/>
        <v>129.43076923076922</v>
      </c>
      <c r="AK113" s="2">
        <f t="shared" si="16"/>
        <v>132.36666666666667</v>
      </c>
      <c r="AL113" s="2">
        <f t="shared" si="17"/>
        <v>125.75</v>
      </c>
      <c r="AM113" s="2">
        <f t="shared" si="18"/>
        <v>127.5</v>
      </c>
      <c r="AN113" s="2">
        <f t="shared" si="19"/>
        <v>122.8142857142857</v>
      </c>
    </row>
    <row r="114" spans="1:40" x14ac:dyDescent="0.3">
      <c r="A114" t="s">
        <v>32</v>
      </c>
      <c r="B114">
        <v>2016</v>
      </c>
      <c r="C114" t="s">
        <v>34</v>
      </c>
      <c r="D114" s="2">
        <v>124.8</v>
      </c>
      <c r="E114" s="2">
        <v>135.1</v>
      </c>
      <c r="F114" s="2">
        <v>130.30000000000001</v>
      </c>
      <c r="G114" s="2">
        <v>129.6</v>
      </c>
      <c r="H114" s="2">
        <v>108.4</v>
      </c>
      <c r="I114" s="2">
        <v>118.6</v>
      </c>
      <c r="J114" s="2">
        <v>129.19999999999999</v>
      </c>
      <c r="K114" s="2">
        <v>176.4</v>
      </c>
      <c r="L114" s="2">
        <v>99.1</v>
      </c>
      <c r="M114" s="2">
        <v>139.69999999999999</v>
      </c>
      <c r="N114" s="2">
        <v>120.6</v>
      </c>
      <c r="O114" s="2">
        <v>135.19999999999999</v>
      </c>
      <c r="P114" s="2">
        <v>129.1</v>
      </c>
      <c r="Q114" s="2">
        <v>140</v>
      </c>
      <c r="R114" s="2">
        <v>126.2</v>
      </c>
      <c r="S114" s="2">
        <v>120.1</v>
      </c>
      <c r="T114" s="2">
        <v>125.3</v>
      </c>
      <c r="U114" s="2">
        <v>124.4</v>
      </c>
      <c r="V114" s="2">
        <v>116</v>
      </c>
      <c r="W114" s="2">
        <v>121.8</v>
      </c>
      <c r="X114" s="2">
        <v>119.5</v>
      </c>
      <c r="Y114" s="2">
        <v>109.1</v>
      </c>
      <c r="Z114" s="2">
        <v>118.8</v>
      </c>
      <c r="AA114" s="2">
        <v>126.3</v>
      </c>
      <c r="AB114" s="2">
        <v>116.2</v>
      </c>
      <c r="AC114" s="2">
        <v>117.2</v>
      </c>
      <c r="AD114" s="2">
        <v>123.8</v>
      </c>
      <c r="AE114" s="2">
        <f t="shared" si="10"/>
        <v>1676.1</v>
      </c>
      <c r="AF114" s="2">
        <f t="shared" si="11"/>
        <v>371.6</v>
      </c>
      <c r="AG114" s="2">
        <f t="shared" si="12"/>
        <v>246.2</v>
      </c>
      <c r="AH114" s="2">
        <f t="shared" si="13"/>
        <v>116</v>
      </c>
      <c r="AI114" s="2">
        <f t="shared" si="14"/>
        <v>847.1</v>
      </c>
      <c r="AJ114" s="2">
        <f t="shared" si="15"/>
        <v>128.93076923076922</v>
      </c>
      <c r="AK114" s="2">
        <f t="shared" si="16"/>
        <v>123.86666666666667</v>
      </c>
      <c r="AL114" s="2">
        <f t="shared" si="17"/>
        <v>123.1</v>
      </c>
      <c r="AM114" s="2">
        <f t="shared" si="18"/>
        <v>116</v>
      </c>
      <c r="AN114" s="2">
        <f t="shared" si="19"/>
        <v>121.01428571428572</v>
      </c>
    </row>
    <row r="115" spans="1:40" x14ac:dyDescent="0.3">
      <c r="A115" t="s">
        <v>33</v>
      </c>
      <c r="B115">
        <v>2016</v>
      </c>
      <c r="C115" t="s">
        <v>34</v>
      </c>
      <c r="D115" s="2">
        <v>126.4</v>
      </c>
      <c r="E115" s="2">
        <v>134.19999999999999</v>
      </c>
      <c r="F115" s="2">
        <v>128.69999999999999</v>
      </c>
      <c r="G115" s="2">
        <v>130.30000000000001</v>
      </c>
      <c r="H115" s="2">
        <v>114.8</v>
      </c>
      <c r="I115" s="2">
        <v>124.9</v>
      </c>
      <c r="J115" s="2">
        <v>130.30000000000001</v>
      </c>
      <c r="K115" s="2">
        <v>167.4</v>
      </c>
      <c r="L115" s="2">
        <v>98.8</v>
      </c>
      <c r="M115" s="2">
        <v>133.6</v>
      </c>
      <c r="N115" s="2">
        <v>123</v>
      </c>
      <c r="O115" s="2">
        <v>135.80000000000001</v>
      </c>
      <c r="P115" s="2">
        <v>129.9</v>
      </c>
      <c r="Q115" s="2">
        <v>135.9</v>
      </c>
      <c r="R115" s="2">
        <v>130.9</v>
      </c>
      <c r="S115" s="2">
        <v>125.8</v>
      </c>
      <c r="T115" s="2">
        <v>130.19999999999999</v>
      </c>
      <c r="U115" s="2">
        <v>124.4</v>
      </c>
      <c r="V115" s="2">
        <v>123.1</v>
      </c>
      <c r="W115" s="2">
        <v>124.6</v>
      </c>
      <c r="X115" s="2">
        <v>122.5</v>
      </c>
      <c r="Y115" s="2">
        <v>111.4</v>
      </c>
      <c r="Z115" s="2">
        <v>120.3</v>
      </c>
      <c r="AA115" s="2">
        <v>126.6</v>
      </c>
      <c r="AB115" s="2">
        <v>116.6</v>
      </c>
      <c r="AC115" s="2">
        <v>119.1</v>
      </c>
      <c r="AD115" s="2">
        <v>126</v>
      </c>
      <c r="AE115" s="2">
        <f t="shared" si="10"/>
        <v>1678.1</v>
      </c>
      <c r="AF115" s="2">
        <f t="shared" si="11"/>
        <v>386.9</v>
      </c>
      <c r="AG115" s="2">
        <f t="shared" si="12"/>
        <v>249</v>
      </c>
      <c r="AH115" s="2">
        <f t="shared" si="13"/>
        <v>123.1</v>
      </c>
      <c r="AI115" s="2">
        <f t="shared" si="14"/>
        <v>852.4</v>
      </c>
      <c r="AJ115" s="2">
        <f t="shared" si="15"/>
        <v>129.08461538461538</v>
      </c>
      <c r="AK115" s="2">
        <f t="shared" si="16"/>
        <v>128.96666666666667</v>
      </c>
      <c r="AL115" s="2">
        <f t="shared" si="17"/>
        <v>124.5</v>
      </c>
      <c r="AM115" s="2">
        <f t="shared" si="18"/>
        <v>123.1</v>
      </c>
      <c r="AN115" s="2">
        <f t="shared" si="19"/>
        <v>121.77142857142857</v>
      </c>
    </row>
    <row r="116" spans="1:40" x14ac:dyDescent="0.3">
      <c r="A116" t="s">
        <v>30</v>
      </c>
      <c r="B116">
        <v>2016</v>
      </c>
      <c r="C116" t="s">
        <v>35</v>
      </c>
      <c r="D116" s="2">
        <v>127.3</v>
      </c>
      <c r="E116" s="2">
        <v>134.4</v>
      </c>
      <c r="F116" s="2">
        <v>125.1</v>
      </c>
      <c r="G116" s="2">
        <v>130.5</v>
      </c>
      <c r="H116" s="2">
        <v>118.3</v>
      </c>
      <c r="I116" s="2">
        <v>131.69999999999999</v>
      </c>
      <c r="J116" s="2">
        <v>130.69999999999999</v>
      </c>
      <c r="K116" s="2">
        <v>161.19999999999999</v>
      </c>
      <c r="L116" s="2">
        <v>100.4</v>
      </c>
      <c r="M116" s="2">
        <v>130.80000000000001</v>
      </c>
      <c r="N116" s="2">
        <v>124.9</v>
      </c>
      <c r="O116" s="2">
        <v>137</v>
      </c>
      <c r="P116" s="2">
        <v>130.4</v>
      </c>
      <c r="Q116" s="2">
        <v>135</v>
      </c>
      <c r="R116" s="2">
        <v>134.4</v>
      </c>
      <c r="S116" s="2">
        <v>130.19999999999999</v>
      </c>
      <c r="T116" s="2">
        <v>133.80000000000001</v>
      </c>
      <c r="U116" s="2">
        <f>AVERAGE(U117,U118)</f>
        <v>124.9</v>
      </c>
      <c r="V116" s="2">
        <v>127</v>
      </c>
      <c r="W116" s="2">
        <v>127.7</v>
      </c>
      <c r="X116" s="2">
        <v>124.8</v>
      </c>
      <c r="Y116" s="2">
        <v>113.6</v>
      </c>
      <c r="Z116" s="2">
        <v>122.5</v>
      </c>
      <c r="AA116" s="2">
        <v>127.5</v>
      </c>
      <c r="AB116" s="2">
        <v>117.4</v>
      </c>
      <c r="AC116" s="2">
        <v>121.1</v>
      </c>
      <c r="AD116" s="2">
        <v>128</v>
      </c>
      <c r="AE116" s="2">
        <f t="shared" si="10"/>
        <v>1682.7000000000003</v>
      </c>
      <c r="AF116" s="2">
        <f t="shared" si="11"/>
        <v>398.40000000000003</v>
      </c>
      <c r="AG116" s="2">
        <f t="shared" si="12"/>
        <v>252.60000000000002</v>
      </c>
      <c r="AH116" s="2">
        <f t="shared" si="13"/>
        <v>127</v>
      </c>
      <c r="AI116" s="2">
        <f t="shared" si="14"/>
        <v>861.9</v>
      </c>
      <c r="AJ116" s="2">
        <f t="shared" si="15"/>
        <v>129.43846153846155</v>
      </c>
      <c r="AK116" s="2">
        <f t="shared" si="16"/>
        <v>132.80000000000001</v>
      </c>
      <c r="AL116" s="2">
        <f t="shared" si="17"/>
        <v>126.30000000000001</v>
      </c>
      <c r="AM116" s="2">
        <f t="shared" si="18"/>
        <v>127</v>
      </c>
      <c r="AN116" s="2">
        <f t="shared" si="19"/>
        <v>123.12857142857142</v>
      </c>
    </row>
    <row r="117" spans="1:40" x14ac:dyDescent="0.3">
      <c r="A117" t="s">
        <v>32</v>
      </c>
      <c r="B117">
        <v>2016</v>
      </c>
      <c r="C117" t="s">
        <v>35</v>
      </c>
      <c r="D117" s="2">
        <v>124.8</v>
      </c>
      <c r="E117" s="2">
        <v>136.30000000000001</v>
      </c>
      <c r="F117" s="2">
        <v>123.7</v>
      </c>
      <c r="G117" s="2">
        <v>129.69999999999999</v>
      </c>
      <c r="H117" s="2">
        <v>107.9</v>
      </c>
      <c r="I117" s="2">
        <v>119.9</v>
      </c>
      <c r="J117" s="2">
        <v>128.1</v>
      </c>
      <c r="K117" s="2">
        <v>170.3</v>
      </c>
      <c r="L117" s="2">
        <v>101.8</v>
      </c>
      <c r="M117" s="2">
        <v>140.1</v>
      </c>
      <c r="N117" s="2">
        <v>120.7</v>
      </c>
      <c r="O117" s="2">
        <v>135.4</v>
      </c>
      <c r="P117" s="2">
        <v>128.9</v>
      </c>
      <c r="Q117" s="2">
        <v>140.6</v>
      </c>
      <c r="R117" s="2">
        <v>126.4</v>
      </c>
      <c r="S117" s="2">
        <v>120.3</v>
      </c>
      <c r="T117" s="2">
        <v>125.5</v>
      </c>
      <c r="U117" s="2">
        <v>124.9</v>
      </c>
      <c r="V117" s="2">
        <v>114.8</v>
      </c>
      <c r="W117" s="2">
        <v>122.3</v>
      </c>
      <c r="X117" s="2">
        <v>119.7</v>
      </c>
      <c r="Y117" s="2">
        <v>108.5</v>
      </c>
      <c r="Z117" s="2">
        <v>119.1</v>
      </c>
      <c r="AA117" s="2">
        <v>126.4</v>
      </c>
      <c r="AB117" s="2">
        <v>117.1</v>
      </c>
      <c r="AC117" s="2">
        <v>117.3</v>
      </c>
      <c r="AD117" s="2">
        <v>123.8</v>
      </c>
      <c r="AE117" s="2">
        <f t="shared" si="10"/>
        <v>1667.6000000000001</v>
      </c>
      <c r="AF117" s="2">
        <f t="shared" si="11"/>
        <v>372.2</v>
      </c>
      <c r="AG117" s="2">
        <f t="shared" si="12"/>
        <v>247.2</v>
      </c>
      <c r="AH117" s="2">
        <f t="shared" si="13"/>
        <v>114.8</v>
      </c>
      <c r="AI117" s="2">
        <f t="shared" si="14"/>
        <v>848.69999999999993</v>
      </c>
      <c r="AJ117" s="2">
        <f t="shared" si="15"/>
        <v>128.27692307692308</v>
      </c>
      <c r="AK117" s="2">
        <f t="shared" si="16"/>
        <v>124.06666666666666</v>
      </c>
      <c r="AL117" s="2">
        <f t="shared" si="17"/>
        <v>123.6</v>
      </c>
      <c r="AM117" s="2">
        <f t="shared" si="18"/>
        <v>114.8</v>
      </c>
      <c r="AN117" s="2">
        <f t="shared" si="19"/>
        <v>121.24285714285713</v>
      </c>
    </row>
    <row r="118" spans="1:40" x14ac:dyDescent="0.3">
      <c r="A118" t="s">
        <v>33</v>
      </c>
      <c r="B118">
        <v>2016</v>
      </c>
      <c r="C118" t="s">
        <v>35</v>
      </c>
      <c r="D118" s="2">
        <v>126.5</v>
      </c>
      <c r="E118" s="2">
        <v>135.1</v>
      </c>
      <c r="F118" s="2">
        <v>124.6</v>
      </c>
      <c r="G118" s="2">
        <v>130.19999999999999</v>
      </c>
      <c r="H118" s="2">
        <v>114.5</v>
      </c>
      <c r="I118" s="2">
        <v>126.2</v>
      </c>
      <c r="J118" s="2">
        <v>129.80000000000001</v>
      </c>
      <c r="K118" s="2">
        <v>164.3</v>
      </c>
      <c r="L118" s="2">
        <v>100.9</v>
      </c>
      <c r="M118" s="2">
        <v>133.9</v>
      </c>
      <c r="N118" s="2">
        <v>123.1</v>
      </c>
      <c r="O118" s="2">
        <v>136.30000000000001</v>
      </c>
      <c r="P118" s="2">
        <v>129.80000000000001</v>
      </c>
      <c r="Q118" s="2">
        <v>136.5</v>
      </c>
      <c r="R118" s="2">
        <v>131.30000000000001</v>
      </c>
      <c r="S118" s="2">
        <v>126.1</v>
      </c>
      <c r="T118" s="2">
        <v>130.5</v>
      </c>
      <c r="U118" s="2">
        <v>124.9</v>
      </c>
      <c r="V118" s="2">
        <v>122.4</v>
      </c>
      <c r="W118" s="2">
        <v>125.1</v>
      </c>
      <c r="X118" s="2">
        <v>122.9</v>
      </c>
      <c r="Y118" s="2">
        <v>110.9</v>
      </c>
      <c r="Z118" s="2">
        <v>120.6</v>
      </c>
      <c r="AA118" s="2">
        <v>126.9</v>
      </c>
      <c r="AB118" s="2">
        <v>117.3</v>
      </c>
      <c r="AC118" s="2">
        <v>119.3</v>
      </c>
      <c r="AD118" s="2">
        <v>126</v>
      </c>
      <c r="AE118" s="2">
        <f t="shared" si="10"/>
        <v>1675.2</v>
      </c>
      <c r="AF118" s="2">
        <f t="shared" si="11"/>
        <v>387.9</v>
      </c>
      <c r="AG118" s="2">
        <f t="shared" si="12"/>
        <v>250</v>
      </c>
      <c r="AH118" s="2">
        <f t="shared" si="13"/>
        <v>122.4</v>
      </c>
      <c r="AI118" s="2">
        <f t="shared" si="14"/>
        <v>854.39999999999986</v>
      </c>
      <c r="AJ118" s="2">
        <f t="shared" si="15"/>
        <v>128.86153846153846</v>
      </c>
      <c r="AK118" s="2">
        <f t="shared" si="16"/>
        <v>129.29999999999998</v>
      </c>
      <c r="AL118" s="2">
        <f t="shared" si="17"/>
        <v>125</v>
      </c>
      <c r="AM118" s="2">
        <f t="shared" si="18"/>
        <v>122.4</v>
      </c>
      <c r="AN118" s="2">
        <f t="shared" si="19"/>
        <v>122.05714285714284</v>
      </c>
    </row>
    <row r="119" spans="1:40" x14ac:dyDescent="0.3">
      <c r="A119" t="s">
        <v>30</v>
      </c>
      <c r="B119">
        <v>2016</v>
      </c>
      <c r="C119" t="s">
        <v>36</v>
      </c>
      <c r="D119" s="2">
        <v>127.4</v>
      </c>
      <c r="E119" s="2">
        <v>135.4</v>
      </c>
      <c r="F119" s="2">
        <v>123.4</v>
      </c>
      <c r="G119" s="2">
        <v>131.30000000000001</v>
      </c>
      <c r="H119" s="2">
        <v>118.2</v>
      </c>
      <c r="I119" s="2">
        <v>138.1</v>
      </c>
      <c r="J119" s="2">
        <v>134.1</v>
      </c>
      <c r="K119" s="2">
        <v>162.69999999999999</v>
      </c>
      <c r="L119" s="2">
        <v>105</v>
      </c>
      <c r="M119" s="2">
        <v>131.4</v>
      </c>
      <c r="N119" s="2">
        <v>125.4</v>
      </c>
      <c r="O119" s="2">
        <v>137.4</v>
      </c>
      <c r="P119" s="2">
        <v>131.80000000000001</v>
      </c>
      <c r="Q119" s="2">
        <v>135.5</v>
      </c>
      <c r="R119" s="2">
        <v>135</v>
      </c>
      <c r="S119" s="2">
        <v>130.6</v>
      </c>
      <c r="T119" s="2">
        <v>134.4</v>
      </c>
      <c r="U119" s="2">
        <f>AVERAGE(U120,U121)</f>
        <v>125.6</v>
      </c>
      <c r="V119" s="2">
        <v>127</v>
      </c>
      <c r="W119" s="2">
        <v>128</v>
      </c>
      <c r="X119" s="2">
        <v>125.2</v>
      </c>
      <c r="Y119" s="2">
        <v>114.4</v>
      </c>
      <c r="Z119" s="2">
        <v>123.2</v>
      </c>
      <c r="AA119" s="2">
        <v>127.9</v>
      </c>
      <c r="AB119" s="2">
        <v>118.4</v>
      </c>
      <c r="AC119" s="2">
        <v>121.7</v>
      </c>
      <c r="AD119" s="2">
        <v>129</v>
      </c>
      <c r="AE119" s="2">
        <f t="shared" si="10"/>
        <v>1701.6000000000004</v>
      </c>
      <c r="AF119" s="2">
        <f t="shared" si="11"/>
        <v>400</v>
      </c>
      <c r="AG119" s="2">
        <f t="shared" si="12"/>
        <v>253.6</v>
      </c>
      <c r="AH119" s="2">
        <f t="shared" si="13"/>
        <v>127</v>
      </c>
      <c r="AI119" s="2">
        <f t="shared" si="14"/>
        <v>866.30000000000007</v>
      </c>
      <c r="AJ119" s="2">
        <f t="shared" si="15"/>
        <v>130.89230769230772</v>
      </c>
      <c r="AK119" s="2">
        <f t="shared" si="16"/>
        <v>133.33333333333334</v>
      </c>
      <c r="AL119" s="2">
        <f t="shared" si="17"/>
        <v>126.8</v>
      </c>
      <c r="AM119" s="2">
        <f t="shared" si="18"/>
        <v>127</v>
      </c>
      <c r="AN119" s="2">
        <f t="shared" si="19"/>
        <v>123.75714285714287</v>
      </c>
    </row>
    <row r="120" spans="1:40" x14ac:dyDescent="0.3">
      <c r="A120" t="s">
        <v>32</v>
      </c>
      <c r="B120">
        <v>2016</v>
      </c>
      <c r="C120" t="s">
        <v>36</v>
      </c>
      <c r="D120" s="2">
        <v>124.9</v>
      </c>
      <c r="E120" s="2">
        <v>139.30000000000001</v>
      </c>
      <c r="F120" s="2">
        <v>119.9</v>
      </c>
      <c r="G120" s="2">
        <v>130.19999999999999</v>
      </c>
      <c r="H120" s="2">
        <v>108.9</v>
      </c>
      <c r="I120" s="2">
        <v>131.1</v>
      </c>
      <c r="J120" s="2">
        <v>136.80000000000001</v>
      </c>
      <c r="K120" s="2">
        <v>176.9</v>
      </c>
      <c r="L120" s="2">
        <v>109.1</v>
      </c>
      <c r="M120" s="2">
        <v>140.4</v>
      </c>
      <c r="N120" s="2">
        <v>121.1</v>
      </c>
      <c r="O120" s="2">
        <v>135.9</v>
      </c>
      <c r="P120" s="2">
        <v>131.80000000000001</v>
      </c>
      <c r="Q120" s="2">
        <v>141.5</v>
      </c>
      <c r="R120" s="2">
        <v>126.8</v>
      </c>
      <c r="S120" s="2">
        <v>120.5</v>
      </c>
      <c r="T120" s="2">
        <v>125.8</v>
      </c>
      <c r="U120" s="2">
        <v>125.6</v>
      </c>
      <c r="V120" s="2">
        <v>114.6</v>
      </c>
      <c r="W120" s="2">
        <v>122.8</v>
      </c>
      <c r="X120" s="2">
        <v>120</v>
      </c>
      <c r="Y120" s="2">
        <v>110</v>
      </c>
      <c r="Z120" s="2">
        <v>119.5</v>
      </c>
      <c r="AA120" s="2">
        <v>127.6</v>
      </c>
      <c r="AB120" s="2">
        <v>117.6</v>
      </c>
      <c r="AC120" s="2">
        <v>118.2</v>
      </c>
      <c r="AD120" s="2">
        <v>125.3</v>
      </c>
      <c r="AE120" s="2">
        <f t="shared" si="10"/>
        <v>1706.3</v>
      </c>
      <c r="AF120" s="2">
        <f t="shared" si="11"/>
        <v>373.1</v>
      </c>
      <c r="AG120" s="2">
        <f t="shared" si="12"/>
        <v>248.39999999999998</v>
      </c>
      <c r="AH120" s="2">
        <f t="shared" si="13"/>
        <v>114.6</v>
      </c>
      <c r="AI120" s="2">
        <f t="shared" si="14"/>
        <v>854.40000000000009</v>
      </c>
      <c r="AJ120" s="2">
        <f t="shared" si="15"/>
        <v>131.25384615384615</v>
      </c>
      <c r="AK120" s="2">
        <f t="shared" si="16"/>
        <v>124.36666666666667</v>
      </c>
      <c r="AL120" s="2">
        <f t="shared" si="17"/>
        <v>124.19999999999999</v>
      </c>
      <c r="AM120" s="2">
        <f t="shared" si="18"/>
        <v>114.6</v>
      </c>
      <c r="AN120" s="2">
        <f t="shared" si="19"/>
        <v>122.05714285714286</v>
      </c>
    </row>
    <row r="121" spans="1:40" x14ac:dyDescent="0.3">
      <c r="A121" t="s">
        <v>33</v>
      </c>
      <c r="B121">
        <v>2016</v>
      </c>
      <c r="C121" t="s">
        <v>36</v>
      </c>
      <c r="D121" s="2">
        <v>126.6</v>
      </c>
      <c r="E121" s="2">
        <v>136.80000000000001</v>
      </c>
      <c r="F121" s="2">
        <v>122</v>
      </c>
      <c r="G121" s="2">
        <v>130.9</v>
      </c>
      <c r="H121" s="2">
        <v>114.8</v>
      </c>
      <c r="I121" s="2">
        <v>134.80000000000001</v>
      </c>
      <c r="J121" s="2">
        <v>135</v>
      </c>
      <c r="K121" s="2">
        <v>167.5</v>
      </c>
      <c r="L121" s="2">
        <v>106.4</v>
      </c>
      <c r="M121" s="2">
        <v>134.4</v>
      </c>
      <c r="N121" s="2">
        <v>123.6</v>
      </c>
      <c r="O121" s="2">
        <v>136.69999999999999</v>
      </c>
      <c r="P121" s="2">
        <v>131.80000000000001</v>
      </c>
      <c r="Q121" s="2">
        <v>137.1</v>
      </c>
      <c r="R121" s="2">
        <v>131.80000000000001</v>
      </c>
      <c r="S121" s="2">
        <v>126.4</v>
      </c>
      <c r="T121" s="2">
        <v>131</v>
      </c>
      <c r="U121" s="2">
        <v>125.6</v>
      </c>
      <c r="V121" s="2">
        <v>122.3</v>
      </c>
      <c r="W121" s="2">
        <v>125.5</v>
      </c>
      <c r="X121" s="2">
        <v>123.2</v>
      </c>
      <c r="Y121" s="2">
        <v>112.1</v>
      </c>
      <c r="Z121" s="2">
        <v>121.1</v>
      </c>
      <c r="AA121" s="2">
        <v>127.7</v>
      </c>
      <c r="AB121" s="2">
        <v>118.1</v>
      </c>
      <c r="AC121" s="2">
        <v>120</v>
      </c>
      <c r="AD121" s="2">
        <v>127.3</v>
      </c>
      <c r="AE121" s="2">
        <f t="shared" si="10"/>
        <v>1701.3</v>
      </c>
      <c r="AF121" s="2">
        <f t="shared" si="11"/>
        <v>389.20000000000005</v>
      </c>
      <c r="AG121" s="2">
        <f t="shared" si="12"/>
        <v>251.1</v>
      </c>
      <c r="AH121" s="2">
        <f t="shared" si="13"/>
        <v>122.3</v>
      </c>
      <c r="AI121" s="2">
        <f t="shared" si="14"/>
        <v>859.3</v>
      </c>
      <c r="AJ121" s="2">
        <f t="shared" si="15"/>
        <v>130.86923076923077</v>
      </c>
      <c r="AK121" s="2">
        <f t="shared" si="16"/>
        <v>129.73333333333335</v>
      </c>
      <c r="AL121" s="2">
        <f t="shared" si="17"/>
        <v>125.55</v>
      </c>
      <c r="AM121" s="2">
        <f t="shared" si="18"/>
        <v>122.3</v>
      </c>
      <c r="AN121" s="2">
        <f t="shared" si="19"/>
        <v>122.75714285714285</v>
      </c>
    </row>
    <row r="122" spans="1:40" x14ac:dyDescent="0.3">
      <c r="A122" t="s">
        <v>30</v>
      </c>
      <c r="B122">
        <v>2016</v>
      </c>
      <c r="C122" t="s">
        <v>37</v>
      </c>
      <c r="D122" s="2">
        <v>127.6</v>
      </c>
      <c r="E122" s="2">
        <v>137.5</v>
      </c>
      <c r="F122" s="2">
        <v>124.4</v>
      </c>
      <c r="G122" s="2">
        <v>132.4</v>
      </c>
      <c r="H122" s="2">
        <v>118.2</v>
      </c>
      <c r="I122" s="2">
        <v>138.1</v>
      </c>
      <c r="J122" s="2">
        <v>141.80000000000001</v>
      </c>
      <c r="K122" s="2">
        <v>166</v>
      </c>
      <c r="L122" s="2">
        <v>107.5</v>
      </c>
      <c r="M122" s="2">
        <v>132.19999999999999</v>
      </c>
      <c r="N122" s="2">
        <v>126.1</v>
      </c>
      <c r="O122" s="2">
        <v>138.30000000000001</v>
      </c>
      <c r="P122" s="2">
        <v>133.6</v>
      </c>
      <c r="Q122" s="2">
        <v>136</v>
      </c>
      <c r="R122" s="2">
        <v>135.4</v>
      </c>
      <c r="S122" s="2">
        <v>131.1</v>
      </c>
      <c r="T122" s="2">
        <v>134.80000000000001</v>
      </c>
      <c r="U122" s="2">
        <f>AVERAGE(U123,U124)</f>
        <v>126</v>
      </c>
      <c r="V122" s="2">
        <v>127.4</v>
      </c>
      <c r="W122" s="2">
        <v>128.5</v>
      </c>
      <c r="X122" s="2">
        <v>125.8</v>
      </c>
      <c r="Y122" s="2">
        <v>115.1</v>
      </c>
      <c r="Z122" s="2">
        <v>123.6</v>
      </c>
      <c r="AA122" s="2">
        <v>129.1</v>
      </c>
      <c r="AB122" s="2">
        <v>119.7</v>
      </c>
      <c r="AC122" s="2">
        <v>122.5</v>
      </c>
      <c r="AD122" s="2">
        <v>130.30000000000001</v>
      </c>
      <c r="AE122" s="2">
        <f t="shared" si="10"/>
        <v>1723.6999999999998</v>
      </c>
      <c r="AF122" s="2">
        <f t="shared" si="11"/>
        <v>401.3</v>
      </c>
      <c r="AG122" s="2">
        <f t="shared" si="12"/>
        <v>254.5</v>
      </c>
      <c r="AH122" s="2">
        <f t="shared" si="13"/>
        <v>127.4</v>
      </c>
      <c r="AI122" s="2">
        <f t="shared" si="14"/>
        <v>871.80000000000007</v>
      </c>
      <c r="AJ122" s="2">
        <f t="shared" si="15"/>
        <v>132.59230769230768</v>
      </c>
      <c r="AK122" s="2">
        <f t="shared" si="16"/>
        <v>133.76666666666668</v>
      </c>
      <c r="AL122" s="2">
        <f t="shared" si="17"/>
        <v>127.25</v>
      </c>
      <c r="AM122" s="2">
        <f t="shared" si="18"/>
        <v>127.4</v>
      </c>
      <c r="AN122" s="2">
        <f t="shared" si="19"/>
        <v>124.54285714285716</v>
      </c>
    </row>
    <row r="123" spans="1:40" x14ac:dyDescent="0.3">
      <c r="A123" t="s">
        <v>32</v>
      </c>
      <c r="B123">
        <v>2016</v>
      </c>
      <c r="C123" t="s">
        <v>37</v>
      </c>
      <c r="D123" s="2">
        <v>125</v>
      </c>
      <c r="E123" s="2">
        <v>142.1</v>
      </c>
      <c r="F123" s="2">
        <v>127</v>
      </c>
      <c r="G123" s="2">
        <v>130.4</v>
      </c>
      <c r="H123" s="2">
        <v>109.6</v>
      </c>
      <c r="I123" s="2">
        <v>133.5</v>
      </c>
      <c r="J123" s="2">
        <v>151.4</v>
      </c>
      <c r="K123" s="2">
        <v>182.8</v>
      </c>
      <c r="L123" s="2">
        <v>111.1</v>
      </c>
      <c r="M123" s="2">
        <v>141.5</v>
      </c>
      <c r="N123" s="2">
        <v>121.5</v>
      </c>
      <c r="O123" s="2">
        <v>136.30000000000001</v>
      </c>
      <c r="P123" s="2">
        <v>134.6</v>
      </c>
      <c r="Q123" s="2">
        <v>142.19999999999999</v>
      </c>
      <c r="R123" s="2">
        <v>127.2</v>
      </c>
      <c r="S123" s="2">
        <v>120.7</v>
      </c>
      <c r="T123" s="2">
        <v>126.2</v>
      </c>
      <c r="U123" s="2">
        <v>126</v>
      </c>
      <c r="V123" s="2">
        <v>115</v>
      </c>
      <c r="W123" s="2">
        <v>123.2</v>
      </c>
      <c r="X123" s="2">
        <v>120.3</v>
      </c>
      <c r="Y123" s="2">
        <v>110.7</v>
      </c>
      <c r="Z123" s="2">
        <v>119.8</v>
      </c>
      <c r="AA123" s="2">
        <v>128</v>
      </c>
      <c r="AB123" s="2">
        <v>118.5</v>
      </c>
      <c r="AC123" s="2">
        <v>118.7</v>
      </c>
      <c r="AD123" s="2">
        <v>126.6</v>
      </c>
      <c r="AE123" s="2">
        <f t="shared" si="10"/>
        <v>1746.7999999999997</v>
      </c>
      <c r="AF123" s="2">
        <f t="shared" si="11"/>
        <v>374.1</v>
      </c>
      <c r="AG123" s="2">
        <f t="shared" si="12"/>
        <v>249.2</v>
      </c>
      <c r="AH123" s="2">
        <f t="shared" si="13"/>
        <v>115</v>
      </c>
      <c r="AI123" s="2">
        <f t="shared" si="14"/>
        <v>858.2</v>
      </c>
      <c r="AJ123" s="2">
        <f t="shared" si="15"/>
        <v>134.36923076923074</v>
      </c>
      <c r="AK123" s="2">
        <f t="shared" si="16"/>
        <v>124.7</v>
      </c>
      <c r="AL123" s="2">
        <f t="shared" si="17"/>
        <v>124.6</v>
      </c>
      <c r="AM123" s="2">
        <f t="shared" si="18"/>
        <v>115</v>
      </c>
      <c r="AN123" s="2">
        <f t="shared" si="19"/>
        <v>122.60000000000001</v>
      </c>
    </row>
    <row r="124" spans="1:40" x14ac:dyDescent="0.3">
      <c r="A124" t="s">
        <v>33</v>
      </c>
      <c r="B124">
        <v>2016</v>
      </c>
      <c r="C124" t="s">
        <v>37</v>
      </c>
      <c r="D124" s="2">
        <v>126.8</v>
      </c>
      <c r="E124" s="2">
        <v>139.1</v>
      </c>
      <c r="F124" s="2">
        <v>125.4</v>
      </c>
      <c r="G124" s="2">
        <v>131.69999999999999</v>
      </c>
      <c r="H124" s="2">
        <v>115</v>
      </c>
      <c r="I124" s="2">
        <v>136</v>
      </c>
      <c r="J124" s="2">
        <v>145.1</v>
      </c>
      <c r="K124" s="2">
        <v>171.7</v>
      </c>
      <c r="L124" s="2">
        <v>108.7</v>
      </c>
      <c r="M124" s="2">
        <v>135.30000000000001</v>
      </c>
      <c r="N124" s="2">
        <v>124.2</v>
      </c>
      <c r="O124" s="2">
        <v>137.4</v>
      </c>
      <c r="P124" s="2">
        <v>134</v>
      </c>
      <c r="Q124" s="2">
        <v>137.69999999999999</v>
      </c>
      <c r="R124" s="2">
        <v>132.19999999999999</v>
      </c>
      <c r="S124" s="2">
        <v>126.8</v>
      </c>
      <c r="T124" s="2">
        <v>131.4</v>
      </c>
      <c r="U124" s="2">
        <v>126</v>
      </c>
      <c r="V124" s="2">
        <v>122.7</v>
      </c>
      <c r="W124" s="2">
        <v>126</v>
      </c>
      <c r="X124" s="2">
        <v>123.7</v>
      </c>
      <c r="Y124" s="2">
        <v>112.8</v>
      </c>
      <c r="Z124" s="2">
        <v>121.5</v>
      </c>
      <c r="AA124" s="2">
        <v>128.5</v>
      </c>
      <c r="AB124" s="2">
        <v>119.2</v>
      </c>
      <c r="AC124" s="2">
        <v>120.7</v>
      </c>
      <c r="AD124" s="2">
        <v>128.6</v>
      </c>
      <c r="AE124" s="2">
        <f t="shared" si="10"/>
        <v>1730.4</v>
      </c>
      <c r="AF124" s="2">
        <f t="shared" si="11"/>
        <v>390.4</v>
      </c>
      <c r="AG124" s="2">
        <f t="shared" si="12"/>
        <v>252</v>
      </c>
      <c r="AH124" s="2">
        <f t="shared" si="13"/>
        <v>122.7</v>
      </c>
      <c r="AI124" s="2">
        <f t="shared" si="14"/>
        <v>864.10000000000014</v>
      </c>
      <c r="AJ124" s="2">
        <f t="shared" si="15"/>
        <v>133.1076923076923</v>
      </c>
      <c r="AK124" s="2">
        <f t="shared" si="16"/>
        <v>130.13333333333333</v>
      </c>
      <c r="AL124" s="2">
        <f t="shared" si="17"/>
        <v>126</v>
      </c>
      <c r="AM124" s="2">
        <f t="shared" si="18"/>
        <v>122.7</v>
      </c>
      <c r="AN124" s="2">
        <f t="shared" si="19"/>
        <v>123.44285714285716</v>
      </c>
    </row>
    <row r="125" spans="1:40" x14ac:dyDescent="0.3">
      <c r="A125" t="s">
        <v>30</v>
      </c>
      <c r="B125">
        <v>2016</v>
      </c>
      <c r="C125" t="s">
        <v>38</v>
      </c>
      <c r="D125" s="2">
        <v>128.6</v>
      </c>
      <c r="E125" s="2">
        <v>138.6</v>
      </c>
      <c r="F125" s="2">
        <v>126.6</v>
      </c>
      <c r="G125" s="2">
        <v>133.6</v>
      </c>
      <c r="H125" s="2">
        <v>118.6</v>
      </c>
      <c r="I125" s="2">
        <v>137.4</v>
      </c>
      <c r="J125" s="2">
        <v>152.5</v>
      </c>
      <c r="K125" s="2">
        <v>169.2</v>
      </c>
      <c r="L125" s="2">
        <v>108.8</v>
      </c>
      <c r="M125" s="2">
        <v>133.1</v>
      </c>
      <c r="N125" s="2">
        <v>126.4</v>
      </c>
      <c r="O125" s="2">
        <v>139.19999999999999</v>
      </c>
      <c r="P125" s="2">
        <v>136</v>
      </c>
      <c r="Q125" s="2">
        <v>137.19999999999999</v>
      </c>
      <c r="R125" s="2">
        <v>136.30000000000001</v>
      </c>
      <c r="S125" s="2">
        <v>131.6</v>
      </c>
      <c r="T125" s="2">
        <v>135.6</v>
      </c>
      <c r="U125" s="2">
        <f>AVERAGE(U126,U127)</f>
        <v>125.5</v>
      </c>
      <c r="V125" s="2">
        <v>128</v>
      </c>
      <c r="W125" s="2">
        <v>129.30000000000001</v>
      </c>
      <c r="X125" s="2">
        <v>126.2</v>
      </c>
      <c r="Y125" s="2">
        <v>116.3</v>
      </c>
      <c r="Z125" s="2">
        <v>124.1</v>
      </c>
      <c r="AA125" s="2">
        <v>130.19999999999999</v>
      </c>
      <c r="AB125" s="2">
        <v>119.9</v>
      </c>
      <c r="AC125" s="2">
        <v>123.3</v>
      </c>
      <c r="AD125" s="2">
        <v>131.9</v>
      </c>
      <c r="AE125" s="2">
        <f t="shared" si="10"/>
        <v>1748.6</v>
      </c>
      <c r="AF125" s="2">
        <f t="shared" si="11"/>
        <v>403.5</v>
      </c>
      <c r="AG125" s="2">
        <f t="shared" si="12"/>
        <v>254.8</v>
      </c>
      <c r="AH125" s="2">
        <f t="shared" si="13"/>
        <v>128</v>
      </c>
      <c r="AI125" s="2">
        <f t="shared" si="14"/>
        <v>877.2</v>
      </c>
      <c r="AJ125" s="2">
        <f t="shared" si="15"/>
        <v>134.50769230769231</v>
      </c>
      <c r="AK125" s="2">
        <f t="shared" si="16"/>
        <v>134.5</v>
      </c>
      <c r="AL125" s="2">
        <f t="shared" si="17"/>
        <v>127.4</v>
      </c>
      <c r="AM125" s="2">
        <f t="shared" si="18"/>
        <v>128</v>
      </c>
      <c r="AN125" s="2">
        <f t="shared" si="19"/>
        <v>125.31428571428572</v>
      </c>
    </row>
    <row r="126" spans="1:40" x14ac:dyDescent="0.3">
      <c r="A126" t="s">
        <v>32</v>
      </c>
      <c r="B126">
        <v>2016</v>
      </c>
      <c r="C126" t="s">
        <v>38</v>
      </c>
      <c r="D126" s="2">
        <v>125.9</v>
      </c>
      <c r="E126" s="2">
        <v>143.9</v>
      </c>
      <c r="F126" s="2">
        <v>130.9</v>
      </c>
      <c r="G126" s="2">
        <v>131</v>
      </c>
      <c r="H126" s="2">
        <v>110.2</v>
      </c>
      <c r="I126" s="2">
        <v>135.5</v>
      </c>
      <c r="J126" s="2">
        <v>173.7</v>
      </c>
      <c r="K126" s="2">
        <v>184.4</v>
      </c>
      <c r="L126" s="2">
        <v>112</v>
      </c>
      <c r="M126" s="2">
        <v>142.80000000000001</v>
      </c>
      <c r="N126" s="2">
        <v>121.6</v>
      </c>
      <c r="O126" s="2">
        <v>136.9</v>
      </c>
      <c r="P126" s="2">
        <v>138.19999999999999</v>
      </c>
      <c r="Q126" s="2">
        <v>142.69999999999999</v>
      </c>
      <c r="R126" s="2">
        <v>127.6</v>
      </c>
      <c r="S126" s="2">
        <v>121.1</v>
      </c>
      <c r="T126" s="2">
        <v>126.6</v>
      </c>
      <c r="U126" s="2">
        <v>125.5</v>
      </c>
      <c r="V126" s="2">
        <v>115.5</v>
      </c>
      <c r="W126" s="2">
        <v>123.2</v>
      </c>
      <c r="X126" s="2">
        <v>120.6</v>
      </c>
      <c r="Y126" s="2">
        <v>112.3</v>
      </c>
      <c r="Z126" s="2">
        <v>119.9</v>
      </c>
      <c r="AA126" s="2">
        <v>129.30000000000001</v>
      </c>
      <c r="AB126" s="2">
        <v>118.8</v>
      </c>
      <c r="AC126" s="2">
        <v>119.6</v>
      </c>
      <c r="AD126" s="2">
        <v>128.1</v>
      </c>
      <c r="AE126" s="2">
        <f t="shared" si="10"/>
        <v>1787.0000000000002</v>
      </c>
      <c r="AF126" s="2">
        <f t="shared" si="11"/>
        <v>375.29999999999995</v>
      </c>
      <c r="AG126" s="2">
        <f t="shared" si="12"/>
        <v>248.7</v>
      </c>
      <c r="AH126" s="2">
        <f t="shared" si="13"/>
        <v>115.5</v>
      </c>
      <c r="AI126" s="2">
        <f t="shared" si="14"/>
        <v>863.2</v>
      </c>
      <c r="AJ126" s="2">
        <f t="shared" si="15"/>
        <v>137.46153846153848</v>
      </c>
      <c r="AK126" s="2">
        <f t="shared" si="16"/>
        <v>125.09999999999998</v>
      </c>
      <c r="AL126" s="2">
        <f t="shared" si="17"/>
        <v>124.35</v>
      </c>
      <c r="AM126" s="2">
        <f t="shared" si="18"/>
        <v>115.5</v>
      </c>
      <c r="AN126" s="2">
        <f t="shared" si="19"/>
        <v>123.31428571428572</v>
      </c>
    </row>
    <row r="127" spans="1:40" x14ac:dyDescent="0.3">
      <c r="A127" t="s">
        <v>33</v>
      </c>
      <c r="B127">
        <v>2016</v>
      </c>
      <c r="C127" t="s">
        <v>38</v>
      </c>
      <c r="D127" s="2">
        <v>127.7</v>
      </c>
      <c r="E127" s="2">
        <v>140.5</v>
      </c>
      <c r="F127" s="2">
        <v>128.30000000000001</v>
      </c>
      <c r="G127" s="2">
        <v>132.6</v>
      </c>
      <c r="H127" s="2">
        <v>115.5</v>
      </c>
      <c r="I127" s="2">
        <v>136.5</v>
      </c>
      <c r="J127" s="2">
        <v>159.69999999999999</v>
      </c>
      <c r="K127" s="2">
        <v>174.3</v>
      </c>
      <c r="L127" s="2">
        <v>109.9</v>
      </c>
      <c r="M127" s="2">
        <v>136.30000000000001</v>
      </c>
      <c r="N127" s="2">
        <v>124.4</v>
      </c>
      <c r="O127" s="2">
        <v>138.1</v>
      </c>
      <c r="P127" s="2">
        <v>136.80000000000001</v>
      </c>
      <c r="Q127" s="2">
        <v>138.69999999999999</v>
      </c>
      <c r="R127" s="2">
        <v>132.9</v>
      </c>
      <c r="S127" s="2">
        <v>127.2</v>
      </c>
      <c r="T127" s="2">
        <v>132</v>
      </c>
      <c r="U127" s="2">
        <v>125.5</v>
      </c>
      <c r="V127" s="2">
        <v>123.3</v>
      </c>
      <c r="W127" s="2">
        <v>126.4</v>
      </c>
      <c r="X127" s="2">
        <v>124.1</v>
      </c>
      <c r="Y127" s="2">
        <v>114.2</v>
      </c>
      <c r="Z127" s="2">
        <v>121.7</v>
      </c>
      <c r="AA127" s="2">
        <v>129.69999999999999</v>
      </c>
      <c r="AB127" s="2">
        <v>119.4</v>
      </c>
      <c r="AC127" s="2">
        <v>121.5</v>
      </c>
      <c r="AD127" s="2">
        <v>130.1</v>
      </c>
      <c r="AE127" s="2">
        <f t="shared" si="10"/>
        <v>1760.6</v>
      </c>
      <c r="AF127" s="2">
        <f t="shared" si="11"/>
        <v>392.1</v>
      </c>
      <c r="AG127" s="2">
        <f t="shared" si="12"/>
        <v>251.9</v>
      </c>
      <c r="AH127" s="2">
        <f t="shared" si="13"/>
        <v>123.3</v>
      </c>
      <c r="AI127" s="2">
        <f t="shared" si="14"/>
        <v>869.3</v>
      </c>
      <c r="AJ127" s="2">
        <f t="shared" si="15"/>
        <v>135.43076923076922</v>
      </c>
      <c r="AK127" s="2">
        <f t="shared" si="16"/>
        <v>130.70000000000002</v>
      </c>
      <c r="AL127" s="2">
        <f t="shared" si="17"/>
        <v>125.95</v>
      </c>
      <c r="AM127" s="2">
        <f t="shared" si="18"/>
        <v>123.3</v>
      </c>
      <c r="AN127" s="2">
        <f t="shared" si="19"/>
        <v>124.18571428571428</v>
      </c>
    </row>
    <row r="128" spans="1:40" x14ac:dyDescent="0.3">
      <c r="A128" t="s">
        <v>30</v>
      </c>
      <c r="B128">
        <v>2016</v>
      </c>
      <c r="C128" t="s">
        <v>39</v>
      </c>
      <c r="D128" s="2">
        <v>129.30000000000001</v>
      </c>
      <c r="E128" s="2">
        <v>139.5</v>
      </c>
      <c r="F128" s="2">
        <v>129.6</v>
      </c>
      <c r="G128" s="2">
        <v>134.5</v>
      </c>
      <c r="H128" s="2">
        <v>119.5</v>
      </c>
      <c r="I128" s="2">
        <v>138.5</v>
      </c>
      <c r="J128" s="2">
        <v>158.19999999999999</v>
      </c>
      <c r="K128" s="2">
        <v>171.8</v>
      </c>
      <c r="L128" s="2">
        <v>110.3</v>
      </c>
      <c r="M128" s="2">
        <v>134.30000000000001</v>
      </c>
      <c r="N128" s="2">
        <v>127.3</v>
      </c>
      <c r="O128" s="2">
        <v>139.9</v>
      </c>
      <c r="P128" s="2">
        <v>137.6</v>
      </c>
      <c r="Q128" s="2">
        <v>138</v>
      </c>
      <c r="R128" s="2">
        <v>137.19999999999999</v>
      </c>
      <c r="S128" s="2">
        <v>132.19999999999999</v>
      </c>
      <c r="T128" s="2">
        <v>136.5</v>
      </c>
      <c r="U128" s="2">
        <f>AVERAGE(U129,U130)</f>
        <v>126.4</v>
      </c>
      <c r="V128" s="2">
        <v>128.19999999999999</v>
      </c>
      <c r="W128" s="2">
        <v>130</v>
      </c>
      <c r="X128" s="2">
        <v>126.7</v>
      </c>
      <c r="Y128" s="2">
        <v>116.4</v>
      </c>
      <c r="Z128" s="2">
        <v>125.2</v>
      </c>
      <c r="AA128" s="2">
        <v>130.80000000000001</v>
      </c>
      <c r="AB128" s="2">
        <v>120.9</v>
      </c>
      <c r="AC128" s="2">
        <v>123.8</v>
      </c>
      <c r="AD128" s="2">
        <v>133</v>
      </c>
      <c r="AE128" s="2">
        <f t="shared" si="10"/>
        <v>1770.2999999999997</v>
      </c>
      <c r="AF128" s="2">
        <f t="shared" si="11"/>
        <v>405.9</v>
      </c>
      <c r="AG128" s="2">
        <f t="shared" si="12"/>
        <v>256.39999999999998</v>
      </c>
      <c r="AH128" s="2">
        <f t="shared" si="13"/>
        <v>128.19999999999999</v>
      </c>
      <c r="AI128" s="2">
        <f t="shared" si="14"/>
        <v>881.8</v>
      </c>
      <c r="AJ128" s="2">
        <f t="shared" si="15"/>
        <v>136.17692307692306</v>
      </c>
      <c r="AK128" s="2">
        <f t="shared" si="16"/>
        <v>135.29999999999998</v>
      </c>
      <c r="AL128" s="2">
        <f t="shared" si="17"/>
        <v>128.19999999999999</v>
      </c>
      <c r="AM128" s="2">
        <f t="shared" si="18"/>
        <v>128.19999999999999</v>
      </c>
      <c r="AN128" s="2">
        <f t="shared" si="19"/>
        <v>125.97142857142856</v>
      </c>
    </row>
    <row r="129" spans="1:40" x14ac:dyDescent="0.3">
      <c r="A129" t="s">
        <v>32</v>
      </c>
      <c r="B129">
        <v>2016</v>
      </c>
      <c r="C129" t="s">
        <v>39</v>
      </c>
      <c r="D129" s="2">
        <v>126.8</v>
      </c>
      <c r="E129" s="2">
        <v>144.19999999999999</v>
      </c>
      <c r="F129" s="2">
        <v>136.6</v>
      </c>
      <c r="G129" s="2">
        <v>131.80000000000001</v>
      </c>
      <c r="H129" s="2">
        <v>111</v>
      </c>
      <c r="I129" s="2">
        <v>137</v>
      </c>
      <c r="J129" s="2">
        <v>179.5</v>
      </c>
      <c r="K129" s="2">
        <v>188.4</v>
      </c>
      <c r="L129" s="2">
        <v>113.3</v>
      </c>
      <c r="M129" s="2">
        <v>143.9</v>
      </c>
      <c r="N129" s="2">
        <v>121.7</v>
      </c>
      <c r="O129" s="2">
        <v>137.5</v>
      </c>
      <c r="P129" s="2">
        <v>139.80000000000001</v>
      </c>
      <c r="Q129" s="2">
        <v>142.9</v>
      </c>
      <c r="R129" s="2">
        <v>127.9</v>
      </c>
      <c r="S129" s="2">
        <v>121.1</v>
      </c>
      <c r="T129" s="2">
        <v>126.9</v>
      </c>
      <c r="U129" s="2">
        <v>126.4</v>
      </c>
      <c r="V129" s="2">
        <v>115.5</v>
      </c>
      <c r="W129" s="2">
        <v>123.5</v>
      </c>
      <c r="X129" s="2">
        <v>120.9</v>
      </c>
      <c r="Y129" s="2">
        <v>111.7</v>
      </c>
      <c r="Z129" s="2">
        <v>120.3</v>
      </c>
      <c r="AA129" s="2">
        <v>130.80000000000001</v>
      </c>
      <c r="AB129" s="2">
        <v>120</v>
      </c>
      <c r="AC129" s="2">
        <v>119.9</v>
      </c>
      <c r="AD129" s="2">
        <v>129</v>
      </c>
      <c r="AE129" s="2">
        <f t="shared" si="10"/>
        <v>1811.5000000000002</v>
      </c>
      <c r="AF129" s="2">
        <f t="shared" si="11"/>
        <v>375.9</v>
      </c>
      <c r="AG129" s="2">
        <f t="shared" si="12"/>
        <v>249.9</v>
      </c>
      <c r="AH129" s="2">
        <f t="shared" si="13"/>
        <v>115.5</v>
      </c>
      <c r="AI129" s="2">
        <f t="shared" si="14"/>
        <v>866.5</v>
      </c>
      <c r="AJ129" s="2">
        <f t="shared" si="15"/>
        <v>139.34615384615387</v>
      </c>
      <c r="AK129" s="2">
        <f t="shared" si="16"/>
        <v>125.3</v>
      </c>
      <c r="AL129" s="2">
        <f t="shared" si="17"/>
        <v>124.95</v>
      </c>
      <c r="AM129" s="2">
        <f t="shared" si="18"/>
        <v>115.5</v>
      </c>
      <c r="AN129" s="2">
        <f t="shared" si="19"/>
        <v>123.78571428571429</v>
      </c>
    </row>
    <row r="130" spans="1:40" x14ac:dyDescent="0.3">
      <c r="A130" t="s">
        <v>33</v>
      </c>
      <c r="B130">
        <v>2016</v>
      </c>
      <c r="C130" t="s">
        <v>39</v>
      </c>
      <c r="D130" s="2">
        <v>128.5</v>
      </c>
      <c r="E130" s="2">
        <v>141.19999999999999</v>
      </c>
      <c r="F130" s="2">
        <v>132.30000000000001</v>
      </c>
      <c r="G130" s="2">
        <v>133.5</v>
      </c>
      <c r="H130" s="2">
        <v>116.4</v>
      </c>
      <c r="I130" s="2">
        <v>137.80000000000001</v>
      </c>
      <c r="J130" s="2">
        <v>165.4</v>
      </c>
      <c r="K130" s="2">
        <v>177.4</v>
      </c>
      <c r="L130" s="2">
        <v>111.3</v>
      </c>
      <c r="M130" s="2">
        <v>137.5</v>
      </c>
      <c r="N130" s="2">
        <v>125</v>
      </c>
      <c r="O130" s="2">
        <v>138.80000000000001</v>
      </c>
      <c r="P130" s="2">
        <v>138.4</v>
      </c>
      <c r="Q130" s="2">
        <v>139.30000000000001</v>
      </c>
      <c r="R130" s="2">
        <v>133.5</v>
      </c>
      <c r="S130" s="2">
        <v>127.6</v>
      </c>
      <c r="T130" s="2">
        <v>132.69999999999999</v>
      </c>
      <c r="U130" s="2">
        <v>126.4</v>
      </c>
      <c r="V130" s="2">
        <v>123.4</v>
      </c>
      <c r="W130" s="2">
        <v>126.9</v>
      </c>
      <c r="X130" s="2">
        <v>124.5</v>
      </c>
      <c r="Y130" s="2">
        <v>113.9</v>
      </c>
      <c r="Z130" s="2">
        <v>122.4</v>
      </c>
      <c r="AA130" s="2">
        <v>130.80000000000001</v>
      </c>
      <c r="AB130" s="2">
        <v>120.5</v>
      </c>
      <c r="AC130" s="2">
        <v>121.9</v>
      </c>
      <c r="AD130" s="2">
        <v>131.1</v>
      </c>
      <c r="AE130" s="2">
        <f t="shared" si="10"/>
        <v>1783.5</v>
      </c>
      <c r="AF130" s="2">
        <f t="shared" si="11"/>
        <v>393.8</v>
      </c>
      <c r="AG130" s="2">
        <f t="shared" si="12"/>
        <v>253.3</v>
      </c>
      <c r="AH130" s="2">
        <f t="shared" si="13"/>
        <v>123.4</v>
      </c>
      <c r="AI130" s="2">
        <f t="shared" si="14"/>
        <v>873.3</v>
      </c>
      <c r="AJ130" s="2">
        <f t="shared" si="15"/>
        <v>137.19230769230768</v>
      </c>
      <c r="AK130" s="2">
        <f t="shared" si="16"/>
        <v>131.26666666666668</v>
      </c>
      <c r="AL130" s="2">
        <f t="shared" si="17"/>
        <v>126.65</v>
      </c>
      <c r="AM130" s="2">
        <f t="shared" si="18"/>
        <v>123.4</v>
      </c>
      <c r="AN130" s="2">
        <f t="shared" si="19"/>
        <v>124.75714285714285</v>
      </c>
    </row>
    <row r="131" spans="1:40" x14ac:dyDescent="0.3">
      <c r="A131" t="s">
        <v>30</v>
      </c>
      <c r="B131">
        <v>2016</v>
      </c>
      <c r="C131" t="s">
        <v>40</v>
      </c>
      <c r="D131" s="2">
        <v>130.1</v>
      </c>
      <c r="E131" s="2">
        <v>138.80000000000001</v>
      </c>
      <c r="F131" s="2">
        <v>130.30000000000001</v>
      </c>
      <c r="G131" s="2">
        <v>135.30000000000001</v>
      </c>
      <c r="H131" s="2">
        <v>119.9</v>
      </c>
      <c r="I131" s="2">
        <v>140.19999999999999</v>
      </c>
      <c r="J131" s="2">
        <v>156.9</v>
      </c>
      <c r="K131" s="2">
        <v>172.2</v>
      </c>
      <c r="L131" s="2">
        <v>112.1</v>
      </c>
      <c r="M131" s="2">
        <v>134.9</v>
      </c>
      <c r="N131" s="2">
        <v>128.1</v>
      </c>
      <c r="O131" s="2">
        <v>140.69999999999999</v>
      </c>
      <c r="P131" s="2">
        <v>138</v>
      </c>
      <c r="Q131" s="2">
        <v>138.9</v>
      </c>
      <c r="R131" s="2">
        <v>137.80000000000001</v>
      </c>
      <c r="S131" s="2">
        <v>133</v>
      </c>
      <c r="T131" s="2">
        <v>137.1</v>
      </c>
      <c r="U131" s="2">
        <f>AVERAGE(U132,U133)</f>
        <v>127.3</v>
      </c>
      <c r="V131" s="2">
        <v>129.1</v>
      </c>
      <c r="W131" s="2">
        <v>130.6</v>
      </c>
      <c r="X131" s="2">
        <v>127</v>
      </c>
      <c r="Y131" s="2">
        <v>116</v>
      </c>
      <c r="Z131" s="2">
        <v>125.5</v>
      </c>
      <c r="AA131" s="2">
        <v>131.9</v>
      </c>
      <c r="AB131" s="2">
        <v>122</v>
      </c>
      <c r="AC131" s="2">
        <v>124.2</v>
      </c>
      <c r="AD131" s="2">
        <v>133.5</v>
      </c>
      <c r="AE131" s="2">
        <f t="shared" ref="AE131:AE194" si="20">SUM(D131:P131)</f>
        <v>1777.4999999999998</v>
      </c>
      <c r="AF131" s="2">
        <f t="shared" ref="AF131:AF194" si="21">SUM(R131:T131)</f>
        <v>407.9</v>
      </c>
      <c r="AG131" s="2">
        <f t="shared" ref="AG131:AG194" si="22">SUM(U131,W131)</f>
        <v>257.89999999999998</v>
      </c>
      <c r="AH131" s="2">
        <f t="shared" ref="AH131:AH194" si="23">SUM(V131)</f>
        <v>129.1</v>
      </c>
      <c r="AI131" s="2">
        <f t="shared" ref="AI131:AI194" si="24">SUM(X131:AC131,Q131)</f>
        <v>885.5</v>
      </c>
      <c r="AJ131" s="2">
        <f t="shared" ref="AJ131:AJ194" si="25">AVERAGE(D131:P131)</f>
        <v>136.73076923076923</v>
      </c>
      <c r="AK131" s="2">
        <f t="shared" ref="AK131:AK194" si="26">AVERAGE(R131:T131)</f>
        <v>135.96666666666667</v>
      </c>
      <c r="AL131" s="2">
        <f t="shared" ref="AL131:AL194" si="27">AVERAGE(U131,W131)</f>
        <v>128.94999999999999</v>
      </c>
      <c r="AM131" s="2">
        <f t="shared" ref="AM131:AM194" si="28">AVERAGE(V131)</f>
        <v>129.1</v>
      </c>
      <c r="AN131" s="2">
        <f t="shared" ref="AN131:AN194" si="29">AVERAGE(X131:AC131,Q131)</f>
        <v>126.5</v>
      </c>
    </row>
    <row r="132" spans="1:40" x14ac:dyDescent="0.3">
      <c r="A132" t="s">
        <v>32</v>
      </c>
      <c r="B132">
        <v>2016</v>
      </c>
      <c r="C132" t="s">
        <v>40</v>
      </c>
      <c r="D132" s="2">
        <v>127.6</v>
      </c>
      <c r="E132" s="2">
        <v>140.30000000000001</v>
      </c>
      <c r="F132" s="2">
        <v>133.69999999999999</v>
      </c>
      <c r="G132" s="2">
        <v>132.19999999999999</v>
      </c>
      <c r="H132" s="2">
        <v>111.8</v>
      </c>
      <c r="I132" s="2">
        <v>135.80000000000001</v>
      </c>
      <c r="J132" s="2">
        <v>163.5</v>
      </c>
      <c r="K132" s="2">
        <v>182.3</v>
      </c>
      <c r="L132" s="2">
        <v>114.6</v>
      </c>
      <c r="M132" s="2">
        <v>144.6</v>
      </c>
      <c r="N132" s="2">
        <v>121.9</v>
      </c>
      <c r="O132" s="2">
        <v>138.1</v>
      </c>
      <c r="P132" s="2">
        <v>137.6</v>
      </c>
      <c r="Q132" s="2">
        <v>143.6</v>
      </c>
      <c r="R132" s="2">
        <v>128.30000000000001</v>
      </c>
      <c r="S132" s="2">
        <v>121.4</v>
      </c>
      <c r="T132" s="2">
        <v>127.3</v>
      </c>
      <c r="U132" s="2">
        <v>127.3</v>
      </c>
      <c r="V132" s="2">
        <v>114.7</v>
      </c>
      <c r="W132" s="2">
        <v>123.9</v>
      </c>
      <c r="X132" s="2">
        <v>121.2</v>
      </c>
      <c r="Y132" s="2">
        <v>110.4</v>
      </c>
      <c r="Z132" s="2">
        <v>120.6</v>
      </c>
      <c r="AA132" s="2">
        <v>131.5</v>
      </c>
      <c r="AB132" s="2">
        <v>120.9</v>
      </c>
      <c r="AC132" s="2">
        <v>119.9</v>
      </c>
      <c r="AD132" s="2">
        <v>128.4</v>
      </c>
      <c r="AE132" s="2">
        <f t="shared" si="20"/>
        <v>1783.9999999999995</v>
      </c>
      <c r="AF132" s="2">
        <f t="shared" si="21"/>
        <v>377</v>
      </c>
      <c r="AG132" s="2">
        <f t="shared" si="22"/>
        <v>251.2</v>
      </c>
      <c r="AH132" s="2">
        <f t="shared" si="23"/>
        <v>114.7</v>
      </c>
      <c r="AI132" s="2">
        <f t="shared" si="24"/>
        <v>868.1</v>
      </c>
      <c r="AJ132" s="2">
        <f t="shared" si="25"/>
        <v>137.2307692307692</v>
      </c>
      <c r="AK132" s="2">
        <f t="shared" si="26"/>
        <v>125.66666666666667</v>
      </c>
      <c r="AL132" s="2">
        <f t="shared" si="27"/>
        <v>125.6</v>
      </c>
      <c r="AM132" s="2">
        <f t="shared" si="28"/>
        <v>114.7</v>
      </c>
      <c r="AN132" s="2">
        <f t="shared" si="29"/>
        <v>124.01428571428572</v>
      </c>
    </row>
    <row r="133" spans="1:40" x14ac:dyDescent="0.3">
      <c r="A133" t="s">
        <v>33</v>
      </c>
      <c r="B133">
        <v>2016</v>
      </c>
      <c r="C133" t="s">
        <v>40</v>
      </c>
      <c r="D133" s="2">
        <v>129.30000000000001</v>
      </c>
      <c r="E133" s="2">
        <v>139.30000000000001</v>
      </c>
      <c r="F133" s="2">
        <v>131.6</v>
      </c>
      <c r="G133" s="2">
        <v>134.1</v>
      </c>
      <c r="H133" s="2">
        <v>116.9</v>
      </c>
      <c r="I133" s="2">
        <v>138.1</v>
      </c>
      <c r="J133" s="2">
        <v>159.1</v>
      </c>
      <c r="K133" s="2">
        <v>175.6</v>
      </c>
      <c r="L133" s="2">
        <v>112.9</v>
      </c>
      <c r="M133" s="2">
        <v>138.1</v>
      </c>
      <c r="N133" s="2">
        <v>125.5</v>
      </c>
      <c r="O133" s="2">
        <v>139.5</v>
      </c>
      <c r="P133" s="2">
        <v>137.9</v>
      </c>
      <c r="Q133" s="2">
        <v>140.19999999999999</v>
      </c>
      <c r="R133" s="2">
        <v>134.1</v>
      </c>
      <c r="S133" s="2">
        <v>128.19999999999999</v>
      </c>
      <c r="T133" s="2">
        <v>133.19999999999999</v>
      </c>
      <c r="U133" s="2">
        <v>127.3</v>
      </c>
      <c r="V133" s="2">
        <v>123.6</v>
      </c>
      <c r="W133" s="2">
        <v>127.4</v>
      </c>
      <c r="X133" s="2">
        <v>124.8</v>
      </c>
      <c r="Y133" s="2">
        <v>113.1</v>
      </c>
      <c r="Z133" s="2">
        <v>122.7</v>
      </c>
      <c r="AA133" s="2">
        <v>131.69999999999999</v>
      </c>
      <c r="AB133" s="2">
        <v>121.5</v>
      </c>
      <c r="AC133" s="2">
        <v>122.1</v>
      </c>
      <c r="AD133" s="2">
        <v>131.1</v>
      </c>
      <c r="AE133" s="2">
        <f t="shared" si="20"/>
        <v>1777.9</v>
      </c>
      <c r="AF133" s="2">
        <f t="shared" si="21"/>
        <v>395.49999999999994</v>
      </c>
      <c r="AG133" s="2">
        <f t="shared" si="22"/>
        <v>254.7</v>
      </c>
      <c r="AH133" s="2">
        <f t="shared" si="23"/>
        <v>123.6</v>
      </c>
      <c r="AI133" s="2">
        <f t="shared" si="24"/>
        <v>876.09999999999991</v>
      </c>
      <c r="AJ133" s="2">
        <f t="shared" si="25"/>
        <v>136.76153846153846</v>
      </c>
      <c r="AK133" s="2">
        <f t="shared" si="26"/>
        <v>131.83333333333331</v>
      </c>
      <c r="AL133" s="2">
        <f t="shared" si="27"/>
        <v>127.35</v>
      </c>
      <c r="AM133" s="2">
        <f t="shared" si="28"/>
        <v>123.6</v>
      </c>
      <c r="AN133" s="2">
        <f t="shared" si="29"/>
        <v>125.15714285714284</v>
      </c>
    </row>
    <row r="134" spans="1:40" x14ac:dyDescent="0.3">
      <c r="A134" t="s">
        <v>30</v>
      </c>
      <c r="B134">
        <v>2016</v>
      </c>
      <c r="C134" t="s">
        <v>41</v>
      </c>
      <c r="D134" s="2">
        <v>130.80000000000001</v>
      </c>
      <c r="E134" s="2">
        <v>138.19999999999999</v>
      </c>
      <c r="F134" s="2">
        <v>130.5</v>
      </c>
      <c r="G134" s="2">
        <v>135.5</v>
      </c>
      <c r="H134" s="2">
        <v>120.2</v>
      </c>
      <c r="I134" s="2">
        <v>139.19999999999999</v>
      </c>
      <c r="J134" s="2">
        <v>149.5</v>
      </c>
      <c r="K134" s="2">
        <v>170.4</v>
      </c>
      <c r="L134" s="2">
        <v>113.1</v>
      </c>
      <c r="M134" s="2">
        <v>135.80000000000001</v>
      </c>
      <c r="N134" s="2">
        <v>128.80000000000001</v>
      </c>
      <c r="O134" s="2">
        <v>141.5</v>
      </c>
      <c r="P134" s="2">
        <v>137.19999999999999</v>
      </c>
      <c r="Q134" s="2">
        <v>139.9</v>
      </c>
      <c r="R134" s="2">
        <v>138.5</v>
      </c>
      <c r="S134" s="2">
        <v>133.5</v>
      </c>
      <c r="T134" s="2">
        <v>137.80000000000001</v>
      </c>
      <c r="U134" s="2">
        <f>AVERAGE(U135,U136)</f>
        <v>127.9</v>
      </c>
      <c r="V134" s="2">
        <v>129.69999999999999</v>
      </c>
      <c r="W134" s="2">
        <v>131.1</v>
      </c>
      <c r="X134" s="2">
        <v>127.8</v>
      </c>
      <c r="Y134" s="2">
        <v>117</v>
      </c>
      <c r="Z134" s="2">
        <v>125.7</v>
      </c>
      <c r="AA134" s="2">
        <v>132.19999999999999</v>
      </c>
      <c r="AB134" s="2">
        <v>122.8</v>
      </c>
      <c r="AC134" s="2">
        <v>124.9</v>
      </c>
      <c r="AD134" s="2">
        <v>133.4</v>
      </c>
      <c r="AE134" s="2">
        <f t="shared" si="20"/>
        <v>1770.7</v>
      </c>
      <c r="AF134" s="2">
        <f t="shared" si="21"/>
        <v>409.8</v>
      </c>
      <c r="AG134" s="2">
        <f t="shared" si="22"/>
        <v>259</v>
      </c>
      <c r="AH134" s="2">
        <f t="shared" si="23"/>
        <v>129.69999999999999</v>
      </c>
      <c r="AI134" s="2">
        <f t="shared" si="24"/>
        <v>890.3</v>
      </c>
      <c r="AJ134" s="2">
        <f t="shared" si="25"/>
        <v>136.2076923076923</v>
      </c>
      <c r="AK134" s="2">
        <f t="shared" si="26"/>
        <v>136.6</v>
      </c>
      <c r="AL134" s="2">
        <f t="shared" si="27"/>
        <v>129.5</v>
      </c>
      <c r="AM134" s="2">
        <f t="shared" si="28"/>
        <v>129.69999999999999</v>
      </c>
      <c r="AN134" s="2">
        <f t="shared" si="29"/>
        <v>127.18571428571428</v>
      </c>
    </row>
    <row r="135" spans="1:40" x14ac:dyDescent="0.3">
      <c r="A135" t="s">
        <v>32</v>
      </c>
      <c r="B135">
        <v>2016</v>
      </c>
      <c r="C135" t="s">
        <v>41</v>
      </c>
      <c r="D135" s="2">
        <v>128.1</v>
      </c>
      <c r="E135" s="2">
        <v>137.69999999999999</v>
      </c>
      <c r="F135" s="2">
        <v>130.6</v>
      </c>
      <c r="G135" s="2">
        <v>132.6</v>
      </c>
      <c r="H135" s="2">
        <v>111.9</v>
      </c>
      <c r="I135" s="2">
        <v>132.5</v>
      </c>
      <c r="J135" s="2">
        <v>152.9</v>
      </c>
      <c r="K135" s="2">
        <v>173.6</v>
      </c>
      <c r="L135" s="2">
        <v>115.1</v>
      </c>
      <c r="M135" s="2">
        <v>144.80000000000001</v>
      </c>
      <c r="N135" s="2">
        <v>122.1</v>
      </c>
      <c r="O135" s="2">
        <v>138.80000000000001</v>
      </c>
      <c r="P135" s="2">
        <v>135.69999999999999</v>
      </c>
      <c r="Q135" s="2">
        <v>143.9</v>
      </c>
      <c r="R135" s="2">
        <v>128.69999999999999</v>
      </c>
      <c r="S135" s="2">
        <v>121.6</v>
      </c>
      <c r="T135" s="2">
        <v>127.7</v>
      </c>
      <c r="U135" s="2">
        <v>127.9</v>
      </c>
      <c r="V135" s="2">
        <v>114.8</v>
      </c>
      <c r="W135" s="2">
        <v>124.3</v>
      </c>
      <c r="X135" s="2">
        <v>121.4</v>
      </c>
      <c r="Y135" s="2">
        <v>111.8</v>
      </c>
      <c r="Z135" s="2">
        <v>120.8</v>
      </c>
      <c r="AA135" s="2">
        <v>131.6</v>
      </c>
      <c r="AB135" s="2">
        <v>121.2</v>
      </c>
      <c r="AC135" s="2">
        <v>120.5</v>
      </c>
      <c r="AD135" s="2">
        <v>128</v>
      </c>
      <c r="AE135" s="2">
        <f t="shared" si="20"/>
        <v>1756.3999999999996</v>
      </c>
      <c r="AF135" s="2">
        <f t="shared" si="21"/>
        <v>378</v>
      </c>
      <c r="AG135" s="2">
        <f t="shared" si="22"/>
        <v>252.2</v>
      </c>
      <c r="AH135" s="2">
        <f t="shared" si="23"/>
        <v>114.8</v>
      </c>
      <c r="AI135" s="2">
        <f t="shared" si="24"/>
        <v>871.2</v>
      </c>
      <c r="AJ135" s="2">
        <f t="shared" si="25"/>
        <v>135.10769230769228</v>
      </c>
      <c r="AK135" s="2">
        <f t="shared" si="26"/>
        <v>126</v>
      </c>
      <c r="AL135" s="2">
        <f t="shared" si="27"/>
        <v>126.1</v>
      </c>
      <c r="AM135" s="2">
        <f t="shared" si="28"/>
        <v>114.8</v>
      </c>
      <c r="AN135" s="2">
        <f t="shared" si="29"/>
        <v>124.45714285714287</v>
      </c>
    </row>
    <row r="136" spans="1:40" x14ac:dyDescent="0.3">
      <c r="A136" t="s">
        <v>33</v>
      </c>
      <c r="B136">
        <v>2016</v>
      </c>
      <c r="C136" t="s">
        <v>41</v>
      </c>
      <c r="D136" s="2">
        <v>129.9</v>
      </c>
      <c r="E136" s="2">
        <v>138</v>
      </c>
      <c r="F136" s="2">
        <v>130.5</v>
      </c>
      <c r="G136" s="2">
        <v>134.4</v>
      </c>
      <c r="H136" s="2">
        <v>117.2</v>
      </c>
      <c r="I136" s="2">
        <v>136.1</v>
      </c>
      <c r="J136" s="2">
        <v>150.69999999999999</v>
      </c>
      <c r="K136" s="2">
        <v>171.5</v>
      </c>
      <c r="L136" s="2">
        <v>113.8</v>
      </c>
      <c r="M136" s="2">
        <v>138.80000000000001</v>
      </c>
      <c r="N136" s="2">
        <v>126</v>
      </c>
      <c r="O136" s="2">
        <v>140.19999999999999</v>
      </c>
      <c r="P136" s="2">
        <v>136.6</v>
      </c>
      <c r="Q136" s="2">
        <v>141</v>
      </c>
      <c r="R136" s="2">
        <v>134.6</v>
      </c>
      <c r="S136" s="2">
        <v>128.6</v>
      </c>
      <c r="T136" s="2">
        <v>133.80000000000001</v>
      </c>
      <c r="U136" s="2">
        <v>127.9</v>
      </c>
      <c r="V136" s="2">
        <v>124.1</v>
      </c>
      <c r="W136" s="2">
        <v>127.9</v>
      </c>
      <c r="X136" s="2">
        <v>125.4</v>
      </c>
      <c r="Y136" s="2">
        <v>114.3</v>
      </c>
      <c r="Z136" s="2">
        <v>122.9</v>
      </c>
      <c r="AA136" s="2">
        <v>131.80000000000001</v>
      </c>
      <c r="AB136" s="2">
        <v>122.1</v>
      </c>
      <c r="AC136" s="2">
        <v>122.8</v>
      </c>
      <c r="AD136" s="2">
        <v>130.9</v>
      </c>
      <c r="AE136" s="2">
        <f t="shared" si="20"/>
        <v>1763.6999999999998</v>
      </c>
      <c r="AF136" s="2">
        <f t="shared" si="21"/>
        <v>397</v>
      </c>
      <c r="AG136" s="2">
        <f t="shared" si="22"/>
        <v>255.8</v>
      </c>
      <c r="AH136" s="2">
        <f t="shared" si="23"/>
        <v>124.1</v>
      </c>
      <c r="AI136" s="2">
        <f t="shared" si="24"/>
        <v>880.3</v>
      </c>
      <c r="AJ136" s="2">
        <f t="shared" si="25"/>
        <v>135.66923076923075</v>
      </c>
      <c r="AK136" s="2">
        <f t="shared" si="26"/>
        <v>132.33333333333334</v>
      </c>
      <c r="AL136" s="2">
        <f t="shared" si="27"/>
        <v>127.9</v>
      </c>
      <c r="AM136" s="2">
        <f t="shared" si="28"/>
        <v>124.1</v>
      </c>
      <c r="AN136" s="2">
        <f t="shared" si="29"/>
        <v>125.75714285714285</v>
      </c>
    </row>
    <row r="137" spans="1:40" x14ac:dyDescent="0.3">
      <c r="A137" t="s">
        <v>30</v>
      </c>
      <c r="B137">
        <v>2016</v>
      </c>
      <c r="C137" t="s">
        <v>42</v>
      </c>
      <c r="D137" s="2">
        <v>131.30000000000001</v>
      </c>
      <c r="E137" s="2">
        <v>137.6</v>
      </c>
      <c r="F137" s="2">
        <v>130.1</v>
      </c>
      <c r="G137" s="2">
        <v>136</v>
      </c>
      <c r="H137" s="2">
        <v>120.8</v>
      </c>
      <c r="I137" s="2">
        <v>138.4</v>
      </c>
      <c r="J137" s="2">
        <v>149.19999999999999</v>
      </c>
      <c r="K137" s="2">
        <v>170.2</v>
      </c>
      <c r="L137" s="2">
        <v>113.4</v>
      </c>
      <c r="M137" s="2">
        <v>136.30000000000001</v>
      </c>
      <c r="N137" s="2">
        <v>128.69999999999999</v>
      </c>
      <c r="O137" s="2">
        <v>142.4</v>
      </c>
      <c r="P137" s="2">
        <v>137.4</v>
      </c>
      <c r="Q137" s="2">
        <v>140.9</v>
      </c>
      <c r="R137" s="2">
        <v>139.6</v>
      </c>
      <c r="S137" s="2">
        <v>134.30000000000001</v>
      </c>
      <c r="T137" s="2">
        <v>138.80000000000001</v>
      </c>
      <c r="U137" s="2">
        <f>AVERAGE(U138,U139)</f>
        <v>128.69999999999999</v>
      </c>
      <c r="V137" s="2">
        <v>129.80000000000001</v>
      </c>
      <c r="W137" s="2">
        <v>131.80000000000001</v>
      </c>
      <c r="X137" s="2">
        <v>128.69999999999999</v>
      </c>
      <c r="Y137" s="2">
        <v>117.8</v>
      </c>
      <c r="Z137" s="2">
        <v>126.5</v>
      </c>
      <c r="AA137" s="2">
        <v>133</v>
      </c>
      <c r="AB137" s="2">
        <v>123</v>
      </c>
      <c r="AC137" s="2">
        <v>125.7</v>
      </c>
      <c r="AD137" s="2">
        <v>133.80000000000001</v>
      </c>
      <c r="AE137" s="2">
        <f t="shared" si="20"/>
        <v>1771.8000000000002</v>
      </c>
      <c r="AF137" s="2">
        <f t="shared" si="21"/>
        <v>412.7</v>
      </c>
      <c r="AG137" s="2">
        <f t="shared" si="22"/>
        <v>260.5</v>
      </c>
      <c r="AH137" s="2">
        <f t="shared" si="23"/>
        <v>129.80000000000001</v>
      </c>
      <c r="AI137" s="2">
        <f t="shared" si="24"/>
        <v>895.6</v>
      </c>
      <c r="AJ137" s="2">
        <f t="shared" si="25"/>
        <v>136.2923076923077</v>
      </c>
      <c r="AK137" s="2">
        <f t="shared" si="26"/>
        <v>137.56666666666666</v>
      </c>
      <c r="AL137" s="2">
        <f t="shared" si="27"/>
        <v>130.25</v>
      </c>
      <c r="AM137" s="2">
        <f t="shared" si="28"/>
        <v>129.80000000000001</v>
      </c>
      <c r="AN137" s="2">
        <f t="shared" si="29"/>
        <v>127.94285714285715</v>
      </c>
    </row>
    <row r="138" spans="1:40" x14ac:dyDescent="0.3">
      <c r="A138" t="s">
        <v>32</v>
      </c>
      <c r="B138">
        <v>2016</v>
      </c>
      <c r="C138" t="s">
        <v>42</v>
      </c>
      <c r="D138" s="2">
        <v>128.69999999999999</v>
      </c>
      <c r="E138" s="2">
        <v>138.4</v>
      </c>
      <c r="F138" s="2">
        <v>130.30000000000001</v>
      </c>
      <c r="G138" s="2">
        <v>132.69999999999999</v>
      </c>
      <c r="H138" s="2">
        <v>112.5</v>
      </c>
      <c r="I138" s="2">
        <v>130.4</v>
      </c>
      <c r="J138" s="2">
        <v>155.1</v>
      </c>
      <c r="K138" s="2">
        <v>175.7</v>
      </c>
      <c r="L138" s="2">
        <v>115.4</v>
      </c>
      <c r="M138" s="2">
        <v>145.30000000000001</v>
      </c>
      <c r="N138" s="2">
        <v>122.5</v>
      </c>
      <c r="O138" s="2">
        <v>139.6</v>
      </c>
      <c r="P138" s="2">
        <v>136.30000000000001</v>
      </c>
      <c r="Q138" s="2">
        <v>144.30000000000001</v>
      </c>
      <c r="R138" s="2">
        <v>129.1</v>
      </c>
      <c r="S138" s="2">
        <v>121.9</v>
      </c>
      <c r="T138" s="2">
        <v>128</v>
      </c>
      <c r="U138" s="2">
        <v>128.69999999999999</v>
      </c>
      <c r="V138" s="2">
        <v>115.2</v>
      </c>
      <c r="W138" s="2">
        <v>124.5</v>
      </c>
      <c r="X138" s="2">
        <v>121.8</v>
      </c>
      <c r="Y138" s="2">
        <v>112.8</v>
      </c>
      <c r="Z138" s="2">
        <v>121.2</v>
      </c>
      <c r="AA138" s="2">
        <v>131.9</v>
      </c>
      <c r="AB138" s="2">
        <v>120.8</v>
      </c>
      <c r="AC138" s="2">
        <v>120.9</v>
      </c>
      <c r="AD138" s="2">
        <v>128.6</v>
      </c>
      <c r="AE138" s="2">
        <f t="shared" si="20"/>
        <v>1762.8999999999999</v>
      </c>
      <c r="AF138" s="2">
        <f t="shared" si="21"/>
        <v>379</v>
      </c>
      <c r="AG138" s="2">
        <f t="shared" si="22"/>
        <v>253.2</v>
      </c>
      <c r="AH138" s="2">
        <f t="shared" si="23"/>
        <v>115.2</v>
      </c>
      <c r="AI138" s="2">
        <f t="shared" si="24"/>
        <v>873.7</v>
      </c>
      <c r="AJ138" s="2">
        <f t="shared" si="25"/>
        <v>135.6076923076923</v>
      </c>
      <c r="AK138" s="2">
        <f t="shared" si="26"/>
        <v>126.33333333333333</v>
      </c>
      <c r="AL138" s="2">
        <f t="shared" si="27"/>
        <v>126.6</v>
      </c>
      <c r="AM138" s="2">
        <f t="shared" si="28"/>
        <v>115.2</v>
      </c>
      <c r="AN138" s="2">
        <f t="shared" si="29"/>
        <v>124.81428571428572</v>
      </c>
    </row>
    <row r="139" spans="1:40" x14ac:dyDescent="0.3">
      <c r="A139" t="s">
        <v>33</v>
      </c>
      <c r="B139">
        <v>2016</v>
      </c>
      <c r="C139" t="s">
        <v>42</v>
      </c>
      <c r="D139" s="2">
        <v>130.5</v>
      </c>
      <c r="E139" s="2">
        <v>137.9</v>
      </c>
      <c r="F139" s="2">
        <v>130.19999999999999</v>
      </c>
      <c r="G139" s="2">
        <v>134.80000000000001</v>
      </c>
      <c r="H139" s="2">
        <v>117.8</v>
      </c>
      <c r="I139" s="2">
        <v>134.69999999999999</v>
      </c>
      <c r="J139" s="2">
        <v>151.19999999999999</v>
      </c>
      <c r="K139" s="2">
        <v>172.1</v>
      </c>
      <c r="L139" s="2">
        <v>114.1</v>
      </c>
      <c r="M139" s="2">
        <v>139.30000000000001</v>
      </c>
      <c r="N139" s="2">
        <v>126.1</v>
      </c>
      <c r="O139" s="2">
        <v>141.1</v>
      </c>
      <c r="P139" s="2">
        <v>137</v>
      </c>
      <c r="Q139" s="2">
        <v>141.80000000000001</v>
      </c>
      <c r="R139" s="2">
        <v>135.5</v>
      </c>
      <c r="S139" s="2">
        <v>129.1</v>
      </c>
      <c r="T139" s="2">
        <v>134.5</v>
      </c>
      <c r="U139" s="2">
        <v>128.69999999999999</v>
      </c>
      <c r="V139" s="2">
        <v>124.3</v>
      </c>
      <c r="W139" s="2">
        <v>128.4</v>
      </c>
      <c r="X139" s="2">
        <v>126.1</v>
      </c>
      <c r="Y139" s="2">
        <v>115.2</v>
      </c>
      <c r="Z139" s="2">
        <v>123.5</v>
      </c>
      <c r="AA139" s="2">
        <v>132.4</v>
      </c>
      <c r="AB139" s="2">
        <v>122.1</v>
      </c>
      <c r="AC139" s="2">
        <v>123.4</v>
      </c>
      <c r="AD139" s="2">
        <v>131.4</v>
      </c>
      <c r="AE139" s="2">
        <f t="shared" si="20"/>
        <v>1766.7999999999995</v>
      </c>
      <c r="AF139" s="2">
        <f t="shared" si="21"/>
        <v>399.1</v>
      </c>
      <c r="AG139" s="2">
        <f t="shared" si="22"/>
        <v>257.10000000000002</v>
      </c>
      <c r="AH139" s="2">
        <f t="shared" si="23"/>
        <v>124.3</v>
      </c>
      <c r="AI139" s="2">
        <f t="shared" si="24"/>
        <v>884.5</v>
      </c>
      <c r="AJ139" s="2">
        <f t="shared" si="25"/>
        <v>135.90769230769226</v>
      </c>
      <c r="AK139" s="2">
        <f t="shared" si="26"/>
        <v>133.03333333333333</v>
      </c>
      <c r="AL139" s="2">
        <f t="shared" si="27"/>
        <v>128.55000000000001</v>
      </c>
      <c r="AM139" s="2">
        <f t="shared" si="28"/>
        <v>124.3</v>
      </c>
      <c r="AN139" s="2">
        <f t="shared" si="29"/>
        <v>126.35714285714286</v>
      </c>
    </row>
    <row r="140" spans="1:40" x14ac:dyDescent="0.3">
      <c r="A140" t="s">
        <v>30</v>
      </c>
      <c r="B140">
        <v>2016</v>
      </c>
      <c r="C140" t="s">
        <v>44</v>
      </c>
      <c r="D140" s="2">
        <v>132</v>
      </c>
      <c r="E140" s="2">
        <v>137.4</v>
      </c>
      <c r="F140" s="2">
        <v>130.6</v>
      </c>
      <c r="G140" s="2">
        <v>136.19999999999999</v>
      </c>
      <c r="H140" s="2">
        <v>121.1</v>
      </c>
      <c r="I140" s="2">
        <v>136.9</v>
      </c>
      <c r="J140" s="2">
        <v>141.80000000000001</v>
      </c>
      <c r="K140" s="2">
        <v>170</v>
      </c>
      <c r="L140" s="2">
        <v>113.4</v>
      </c>
      <c r="M140" s="2">
        <v>136.80000000000001</v>
      </c>
      <c r="N140" s="2">
        <v>128.69999999999999</v>
      </c>
      <c r="O140" s="2">
        <v>143.1</v>
      </c>
      <c r="P140" s="2">
        <v>136.6</v>
      </c>
      <c r="Q140" s="2">
        <v>141.19999999999999</v>
      </c>
      <c r="R140" s="2">
        <v>139.9</v>
      </c>
      <c r="S140" s="2">
        <v>134.5</v>
      </c>
      <c r="T140" s="2">
        <v>139.19999999999999</v>
      </c>
      <c r="U140" s="2">
        <f>AVERAGE(U141,U142)</f>
        <v>129.1</v>
      </c>
      <c r="V140" s="2">
        <v>130.30000000000001</v>
      </c>
      <c r="W140" s="2">
        <v>132.1</v>
      </c>
      <c r="X140" s="2">
        <v>129.1</v>
      </c>
      <c r="Y140" s="2">
        <v>118.2</v>
      </c>
      <c r="Z140" s="2">
        <v>126.9</v>
      </c>
      <c r="AA140" s="2">
        <v>133.69999999999999</v>
      </c>
      <c r="AB140" s="2">
        <v>123.5</v>
      </c>
      <c r="AC140" s="2">
        <v>126.1</v>
      </c>
      <c r="AD140" s="2">
        <v>133.6</v>
      </c>
      <c r="AE140" s="2">
        <f t="shared" si="20"/>
        <v>1764.6</v>
      </c>
      <c r="AF140" s="2">
        <f t="shared" si="21"/>
        <v>413.59999999999997</v>
      </c>
      <c r="AG140" s="2">
        <f t="shared" si="22"/>
        <v>261.2</v>
      </c>
      <c r="AH140" s="2">
        <f t="shared" si="23"/>
        <v>130.30000000000001</v>
      </c>
      <c r="AI140" s="2">
        <f t="shared" si="24"/>
        <v>898.7</v>
      </c>
      <c r="AJ140" s="2">
        <f t="shared" si="25"/>
        <v>135.73846153846154</v>
      </c>
      <c r="AK140" s="2">
        <f t="shared" si="26"/>
        <v>137.86666666666665</v>
      </c>
      <c r="AL140" s="2">
        <f t="shared" si="27"/>
        <v>130.6</v>
      </c>
      <c r="AM140" s="2">
        <f t="shared" si="28"/>
        <v>130.30000000000001</v>
      </c>
      <c r="AN140" s="2">
        <f t="shared" si="29"/>
        <v>128.3857142857143</v>
      </c>
    </row>
    <row r="141" spans="1:40" x14ac:dyDescent="0.3">
      <c r="A141" t="s">
        <v>32</v>
      </c>
      <c r="B141">
        <v>2016</v>
      </c>
      <c r="C141" t="s">
        <v>44</v>
      </c>
      <c r="D141" s="2">
        <v>130.19999999999999</v>
      </c>
      <c r="E141" s="2">
        <v>138.5</v>
      </c>
      <c r="F141" s="2">
        <v>134.1</v>
      </c>
      <c r="G141" s="2">
        <v>132.9</v>
      </c>
      <c r="H141" s="2">
        <v>112.6</v>
      </c>
      <c r="I141" s="2">
        <v>130.80000000000001</v>
      </c>
      <c r="J141" s="2">
        <v>142</v>
      </c>
      <c r="K141" s="2">
        <v>174.9</v>
      </c>
      <c r="L141" s="2">
        <v>115.6</v>
      </c>
      <c r="M141" s="2">
        <v>145.4</v>
      </c>
      <c r="N141" s="2">
        <v>122.7</v>
      </c>
      <c r="O141" s="2">
        <v>140.30000000000001</v>
      </c>
      <c r="P141" s="2">
        <v>135.19999999999999</v>
      </c>
      <c r="Q141" s="2">
        <v>144.30000000000001</v>
      </c>
      <c r="R141" s="2">
        <v>129.6</v>
      </c>
      <c r="S141" s="2">
        <v>122.1</v>
      </c>
      <c r="T141" s="2">
        <v>128.5</v>
      </c>
      <c r="U141" s="2">
        <v>129.1</v>
      </c>
      <c r="V141" s="2">
        <v>116.2</v>
      </c>
      <c r="W141" s="2">
        <v>124.7</v>
      </c>
      <c r="X141" s="2">
        <v>122.1</v>
      </c>
      <c r="Y141" s="2">
        <v>113.4</v>
      </c>
      <c r="Z141" s="2">
        <v>121.7</v>
      </c>
      <c r="AA141" s="2">
        <v>132.1</v>
      </c>
      <c r="AB141" s="2">
        <v>121.3</v>
      </c>
      <c r="AC141" s="2">
        <v>121.3</v>
      </c>
      <c r="AD141" s="2">
        <v>128.5</v>
      </c>
      <c r="AE141" s="2">
        <f t="shared" si="20"/>
        <v>1755.2</v>
      </c>
      <c r="AF141" s="2">
        <f t="shared" si="21"/>
        <v>380.2</v>
      </c>
      <c r="AG141" s="2">
        <f t="shared" si="22"/>
        <v>253.8</v>
      </c>
      <c r="AH141" s="2">
        <f t="shared" si="23"/>
        <v>116.2</v>
      </c>
      <c r="AI141" s="2">
        <f t="shared" si="24"/>
        <v>876.19999999999982</v>
      </c>
      <c r="AJ141" s="2">
        <f t="shared" si="25"/>
        <v>135.01538461538462</v>
      </c>
      <c r="AK141" s="2">
        <f t="shared" si="26"/>
        <v>126.73333333333333</v>
      </c>
      <c r="AL141" s="2">
        <f t="shared" si="27"/>
        <v>126.9</v>
      </c>
      <c r="AM141" s="2">
        <f t="shared" si="28"/>
        <v>116.2</v>
      </c>
      <c r="AN141" s="2">
        <f t="shared" si="29"/>
        <v>125.17142857142855</v>
      </c>
    </row>
    <row r="142" spans="1:40" x14ac:dyDescent="0.3">
      <c r="A142" t="s">
        <v>33</v>
      </c>
      <c r="B142">
        <v>2016</v>
      </c>
      <c r="C142" t="s">
        <v>44</v>
      </c>
      <c r="D142" s="2">
        <v>131.4</v>
      </c>
      <c r="E142" s="2">
        <v>137.80000000000001</v>
      </c>
      <c r="F142" s="2">
        <v>132</v>
      </c>
      <c r="G142" s="2">
        <v>135</v>
      </c>
      <c r="H142" s="2">
        <v>118</v>
      </c>
      <c r="I142" s="2">
        <v>134.1</v>
      </c>
      <c r="J142" s="2">
        <v>141.9</v>
      </c>
      <c r="K142" s="2">
        <v>171.7</v>
      </c>
      <c r="L142" s="2">
        <v>114.1</v>
      </c>
      <c r="M142" s="2">
        <v>139.69999999999999</v>
      </c>
      <c r="N142" s="2">
        <v>126.2</v>
      </c>
      <c r="O142" s="2">
        <v>141.80000000000001</v>
      </c>
      <c r="P142" s="2">
        <v>136.1</v>
      </c>
      <c r="Q142" s="2">
        <v>142</v>
      </c>
      <c r="R142" s="2">
        <v>135.80000000000001</v>
      </c>
      <c r="S142" s="2">
        <v>129.30000000000001</v>
      </c>
      <c r="T142" s="2">
        <v>135</v>
      </c>
      <c r="U142" s="2">
        <v>129.1</v>
      </c>
      <c r="V142" s="2">
        <v>125</v>
      </c>
      <c r="W142" s="2">
        <v>128.6</v>
      </c>
      <c r="X142" s="2">
        <v>126.4</v>
      </c>
      <c r="Y142" s="2">
        <v>115.7</v>
      </c>
      <c r="Z142" s="2">
        <v>124</v>
      </c>
      <c r="AA142" s="2">
        <v>132.80000000000001</v>
      </c>
      <c r="AB142" s="2">
        <v>122.6</v>
      </c>
      <c r="AC142" s="2">
        <v>123.8</v>
      </c>
      <c r="AD142" s="2">
        <v>131.19999999999999</v>
      </c>
      <c r="AE142" s="2">
        <f t="shared" si="20"/>
        <v>1759.8</v>
      </c>
      <c r="AF142" s="2">
        <f t="shared" si="21"/>
        <v>400.1</v>
      </c>
      <c r="AG142" s="2">
        <f t="shared" si="22"/>
        <v>257.7</v>
      </c>
      <c r="AH142" s="2">
        <f t="shared" si="23"/>
        <v>125</v>
      </c>
      <c r="AI142" s="2">
        <f t="shared" si="24"/>
        <v>887.3</v>
      </c>
      <c r="AJ142" s="2">
        <f t="shared" si="25"/>
        <v>135.36923076923077</v>
      </c>
      <c r="AK142" s="2">
        <f t="shared" si="26"/>
        <v>133.36666666666667</v>
      </c>
      <c r="AL142" s="2">
        <f t="shared" si="27"/>
        <v>128.85</v>
      </c>
      <c r="AM142" s="2">
        <f t="shared" si="28"/>
        <v>125</v>
      </c>
      <c r="AN142" s="2">
        <f t="shared" si="29"/>
        <v>126.75714285714285</v>
      </c>
    </row>
    <row r="143" spans="1:40" x14ac:dyDescent="0.3">
      <c r="A143" t="s">
        <v>30</v>
      </c>
      <c r="B143">
        <v>2016</v>
      </c>
      <c r="C143" t="s">
        <v>45</v>
      </c>
      <c r="D143" s="2">
        <v>132.6</v>
      </c>
      <c r="E143" s="2">
        <v>137.30000000000001</v>
      </c>
      <c r="F143" s="2">
        <v>131.6</v>
      </c>
      <c r="G143" s="2">
        <v>136.30000000000001</v>
      </c>
      <c r="H143" s="2">
        <v>121.6</v>
      </c>
      <c r="I143" s="2">
        <v>135.6</v>
      </c>
      <c r="J143" s="2">
        <v>127.5</v>
      </c>
      <c r="K143" s="2">
        <v>167.9</v>
      </c>
      <c r="L143" s="2">
        <v>113.8</v>
      </c>
      <c r="M143" s="2">
        <v>137.5</v>
      </c>
      <c r="N143" s="2">
        <v>129.1</v>
      </c>
      <c r="O143" s="2">
        <v>143.6</v>
      </c>
      <c r="P143" s="2">
        <v>134.69999999999999</v>
      </c>
      <c r="Q143" s="2">
        <v>142.4</v>
      </c>
      <c r="R143" s="2">
        <v>140.4</v>
      </c>
      <c r="S143" s="2">
        <v>135.19999999999999</v>
      </c>
      <c r="T143" s="2">
        <v>139.69999999999999</v>
      </c>
      <c r="U143" s="2">
        <f>AVERAGE(U144,U145)</f>
        <v>128.5</v>
      </c>
      <c r="V143" s="2">
        <v>132</v>
      </c>
      <c r="W143" s="2">
        <v>132.9</v>
      </c>
      <c r="X143" s="2">
        <v>129.69999999999999</v>
      </c>
      <c r="Y143" s="2">
        <v>118.6</v>
      </c>
      <c r="Z143" s="2">
        <v>127.3</v>
      </c>
      <c r="AA143" s="2">
        <v>134.19999999999999</v>
      </c>
      <c r="AB143" s="2">
        <v>121.9</v>
      </c>
      <c r="AC143" s="2">
        <v>126.3</v>
      </c>
      <c r="AD143" s="2">
        <v>132.80000000000001</v>
      </c>
      <c r="AE143" s="2">
        <f t="shared" si="20"/>
        <v>1749.1</v>
      </c>
      <c r="AF143" s="2">
        <f t="shared" si="21"/>
        <v>415.3</v>
      </c>
      <c r="AG143" s="2">
        <f t="shared" si="22"/>
        <v>261.39999999999998</v>
      </c>
      <c r="AH143" s="2">
        <f t="shared" si="23"/>
        <v>132</v>
      </c>
      <c r="AI143" s="2">
        <f t="shared" si="24"/>
        <v>900.39999999999986</v>
      </c>
      <c r="AJ143" s="2">
        <f t="shared" si="25"/>
        <v>134.54615384615383</v>
      </c>
      <c r="AK143" s="2">
        <f t="shared" si="26"/>
        <v>138.43333333333334</v>
      </c>
      <c r="AL143" s="2">
        <f t="shared" si="27"/>
        <v>130.69999999999999</v>
      </c>
      <c r="AM143" s="2">
        <f t="shared" si="28"/>
        <v>132</v>
      </c>
      <c r="AN143" s="2">
        <f t="shared" si="29"/>
        <v>128.62857142857141</v>
      </c>
    </row>
    <row r="144" spans="1:40" x14ac:dyDescent="0.3">
      <c r="A144" t="s">
        <v>32</v>
      </c>
      <c r="B144">
        <v>2016</v>
      </c>
      <c r="C144" t="s">
        <v>45</v>
      </c>
      <c r="D144" s="2">
        <v>131.6</v>
      </c>
      <c r="E144" s="2">
        <v>138.19999999999999</v>
      </c>
      <c r="F144" s="2">
        <v>134.9</v>
      </c>
      <c r="G144" s="2">
        <v>133.1</v>
      </c>
      <c r="H144" s="2">
        <v>113.5</v>
      </c>
      <c r="I144" s="2">
        <v>129.30000000000001</v>
      </c>
      <c r="J144" s="2">
        <v>121.1</v>
      </c>
      <c r="K144" s="2">
        <v>170.3</v>
      </c>
      <c r="L144" s="2">
        <v>115.5</v>
      </c>
      <c r="M144" s="2">
        <v>145.5</v>
      </c>
      <c r="N144" s="2">
        <v>123.1</v>
      </c>
      <c r="O144" s="2">
        <v>140.9</v>
      </c>
      <c r="P144" s="2">
        <v>132.80000000000001</v>
      </c>
      <c r="Q144" s="2">
        <v>145</v>
      </c>
      <c r="R144" s="2">
        <v>130</v>
      </c>
      <c r="S144" s="2">
        <v>122.2</v>
      </c>
      <c r="T144" s="2">
        <v>128.80000000000001</v>
      </c>
      <c r="U144" s="2">
        <v>128.5</v>
      </c>
      <c r="V144" s="2">
        <v>117.8</v>
      </c>
      <c r="W144" s="2">
        <v>125</v>
      </c>
      <c r="X144" s="2">
        <v>122.3</v>
      </c>
      <c r="Y144" s="2">
        <v>113.7</v>
      </c>
      <c r="Z144" s="2">
        <v>121.8</v>
      </c>
      <c r="AA144" s="2">
        <v>132.30000000000001</v>
      </c>
      <c r="AB144" s="2">
        <v>119.9</v>
      </c>
      <c r="AC144" s="2">
        <v>121.4</v>
      </c>
      <c r="AD144" s="2">
        <v>127.6</v>
      </c>
      <c r="AE144" s="2">
        <f t="shared" si="20"/>
        <v>1729.8</v>
      </c>
      <c r="AF144" s="2">
        <f t="shared" si="21"/>
        <v>381</v>
      </c>
      <c r="AG144" s="2">
        <f t="shared" si="22"/>
        <v>253.5</v>
      </c>
      <c r="AH144" s="2">
        <f t="shared" si="23"/>
        <v>117.8</v>
      </c>
      <c r="AI144" s="2">
        <f t="shared" si="24"/>
        <v>876.4</v>
      </c>
      <c r="AJ144" s="2">
        <f t="shared" si="25"/>
        <v>133.06153846153845</v>
      </c>
      <c r="AK144" s="2">
        <f t="shared" si="26"/>
        <v>127</v>
      </c>
      <c r="AL144" s="2">
        <f t="shared" si="27"/>
        <v>126.75</v>
      </c>
      <c r="AM144" s="2">
        <f t="shared" si="28"/>
        <v>117.8</v>
      </c>
      <c r="AN144" s="2">
        <f t="shared" si="29"/>
        <v>125.2</v>
      </c>
    </row>
    <row r="145" spans="1:40" x14ac:dyDescent="0.3">
      <c r="A145" t="s">
        <v>33</v>
      </c>
      <c r="B145">
        <v>2016</v>
      </c>
      <c r="C145" t="s">
        <v>45</v>
      </c>
      <c r="D145" s="2">
        <v>132.30000000000001</v>
      </c>
      <c r="E145" s="2">
        <v>137.6</v>
      </c>
      <c r="F145" s="2">
        <v>132.9</v>
      </c>
      <c r="G145" s="2">
        <v>135.1</v>
      </c>
      <c r="H145" s="2">
        <v>118.6</v>
      </c>
      <c r="I145" s="2">
        <v>132.69999999999999</v>
      </c>
      <c r="J145" s="2">
        <v>125.3</v>
      </c>
      <c r="K145" s="2">
        <v>168.7</v>
      </c>
      <c r="L145" s="2">
        <v>114.4</v>
      </c>
      <c r="M145" s="2">
        <v>140.19999999999999</v>
      </c>
      <c r="N145" s="2">
        <v>126.6</v>
      </c>
      <c r="O145" s="2">
        <v>142.30000000000001</v>
      </c>
      <c r="P145" s="2">
        <v>134</v>
      </c>
      <c r="Q145" s="2">
        <v>143.1</v>
      </c>
      <c r="R145" s="2">
        <v>136.30000000000001</v>
      </c>
      <c r="S145" s="2">
        <v>129.80000000000001</v>
      </c>
      <c r="T145" s="2">
        <v>135.4</v>
      </c>
      <c r="U145" s="2">
        <v>128.5</v>
      </c>
      <c r="V145" s="2">
        <v>126.6</v>
      </c>
      <c r="W145" s="2">
        <v>129.19999999999999</v>
      </c>
      <c r="X145" s="2">
        <v>126.9</v>
      </c>
      <c r="Y145" s="2">
        <v>116</v>
      </c>
      <c r="Z145" s="2">
        <v>124.2</v>
      </c>
      <c r="AA145" s="2">
        <v>133.1</v>
      </c>
      <c r="AB145" s="2">
        <v>121.1</v>
      </c>
      <c r="AC145" s="2">
        <v>123.9</v>
      </c>
      <c r="AD145" s="2">
        <v>130.4</v>
      </c>
      <c r="AE145" s="2">
        <f t="shared" si="20"/>
        <v>1740.7</v>
      </c>
      <c r="AF145" s="2">
        <f t="shared" si="21"/>
        <v>401.5</v>
      </c>
      <c r="AG145" s="2">
        <f t="shared" si="22"/>
        <v>257.7</v>
      </c>
      <c r="AH145" s="2">
        <f t="shared" si="23"/>
        <v>126.6</v>
      </c>
      <c r="AI145" s="2">
        <f t="shared" si="24"/>
        <v>888.30000000000007</v>
      </c>
      <c r="AJ145" s="2">
        <f t="shared" si="25"/>
        <v>133.9</v>
      </c>
      <c r="AK145" s="2">
        <f t="shared" si="26"/>
        <v>133.83333333333334</v>
      </c>
      <c r="AL145" s="2">
        <f t="shared" si="27"/>
        <v>128.85</v>
      </c>
      <c r="AM145" s="2">
        <f t="shared" si="28"/>
        <v>126.6</v>
      </c>
      <c r="AN145" s="2">
        <f t="shared" si="29"/>
        <v>126.9</v>
      </c>
    </row>
    <row r="146" spans="1:40" x14ac:dyDescent="0.3">
      <c r="A146" t="s">
        <v>30</v>
      </c>
      <c r="B146">
        <v>2017</v>
      </c>
      <c r="C146" t="s">
        <v>31</v>
      </c>
      <c r="D146" s="2">
        <v>133.1</v>
      </c>
      <c r="E146" s="2">
        <v>137.80000000000001</v>
      </c>
      <c r="F146" s="2">
        <v>131.9</v>
      </c>
      <c r="G146" s="2">
        <v>136.69999999999999</v>
      </c>
      <c r="H146" s="2">
        <v>122</v>
      </c>
      <c r="I146" s="2">
        <v>136</v>
      </c>
      <c r="J146" s="2">
        <v>119.8</v>
      </c>
      <c r="K146" s="2">
        <v>161.69999999999999</v>
      </c>
      <c r="L146" s="2">
        <v>114.8</v>
      </c>
      <c r="M146" s="2">
        <v>136.9</v>
      </c>
      <c r="N146" s="2">
        <v>129</v>
      </c>
      <c r="O146" s="2">
        <v>143.9</v>
      </c>
      <c r="P146" s="2">
        <v>133.69999999999999</v>
      </c>
      <c r="Q146" s="2">
        <v>143.1</v>
      </c>
      <c r="R146" s="2">
        <v>140.69999999999999</v>
      </c>
      <c r="S146" s="2">
        <v>135.80000000000001</v>
      </c>
      <c r="T146" s="2">
        <v>140</v>
      </c>
      <c r="U146" s="2">
        <f>AVERAGE(U147,U148)</f>
        <v>129.6</v>
      </c>
      <c r="V146" s="2">
        <v>132.1</v>
      </c>
      <c r="W146" s="2">
        <v>133.19999999999999</v>
      </c>
      <c r="X146" s="2">
        <v>129.9</v>
      </c>
      <c r="Y146" s="2">
        <v>119.1</v>
      </c>
      <c r="Z146" s="2">
        <v>127</v>
      </c>
      <c r="AA146" s="2">
        <v>134.6</v>
      </c>
      <c r="AB146" s="2">
        <v>122.3</v>
      </c>
      <c r="AC146" s="2">
        <v>126.6</v>
      </c>
      <c r="AD146" s="2">
        <v>132.4</v>
      </c>
      <c r="AE146" s="2">
        <f t="shared" si="20"/>
        <v>1737.3000000000002</v>
      </c>
      <c r="AF146" s="2">
        <f t="shared" si="21"/>
        <v>416.5</v>
      </c>
      <c r="AG146" s="2">
        <f t="shared" si="22"/>
        <v>262.79999999999995</v>
      </c>
      <c r="AH146" s="2">
        <f t="shared" si="23"/>
        <v>132.1</v>
      </c>
      <c r="AI146" s="2">
        <f t="shared" si="24"/>
        <v>902.6</v>
      </c>
      <c r="AJ146" s="2">
        <f t="shared" si="25"/>
        <v>133.63846153846154</v>
      </c>
      <c r="AK146" s="2">
        <f t="shared" si="26"/>
        <v>138.83333333333334</v>
      </c>
      <c r="AL146" s="2">
        <f t="shared" si="27"/>
        <v>131.39999999999998</v>
      </c>
      <c r="AM146" s="2">
        <f t="shared" si="28"/>
        <v>132.1</v>
      </c>
      <c r="AN146" s="2">
        <f t="shared" si="29"/>
        <v>128.94285714285715</v>
      </c>
    </row>
    <row r="147" spans="1:40" x14ac:dyDescent="0.3">
      <c r="A147" t="s">
        <v>32</v>
      </c>
      <c r="B147">
        <v>2017</v>
      </c>
      <c r="C147" t="s">
        <v>31</v>
      </c>
      <c r="D147" s="2">
        <v>132.19999999999999</v>
      </c>
      <c r="E147" s="2">
        <v>138.9</v>
      </c>
      <c r="F147" s="2">
        <v>132.6</v>
      </c>
      <c r="G147" s="2">
        <v>133.1</v>
      </c>
      <c r="H147" s="2">
        <v>114</v>
      </c>
      <c r="I147" s="2">
        <v>129.6</v>
      </c>
      <c r="J147" s="2">
        <v>118.7</v>
      </c>
      <c r="K147" s="2">
        <v>155.1</v>
      </c>
      <c r="L147" s="2">
        <v>117.3</v>
      </c>
      <c r="M147" s="2">
        <v>144.9</v>
      </c>
      <c r="N147" s="2">
        <v>123.2</v>
      </c>
      <c r="O147" s="2">
        <v>141.6</v>
      </c>
      <c r="P147" s="2">
        <v>132</v>
      </c>
      <c r="Q147" s="2">
        <v>145.6</v>
      </c>
      <c r="R147" s="2">
        <v>130.19999999999999</v>
      </c>
      <c r="S147" s="2">
        <v>122.3</v>
      </c>
      <c r="T147" s="2">
        <v>129</v>
      </c>
      <c r="U147" s="2">
        <v>129.6</v>
      </c>
      <c r="V147" s="2">
        <v>118</v>
      </c>
      <c r="W147" s="2">
        <v>125.1</v>
      </c>
      <c r="X147" s="2">
        <v>122.6</v>
      </c>
      <c r="Y147" s="2">
        <v>115.2</v>
      </c>
      <c r="Z147" s="2">
        <v>122</v>
      </c>
      <c r="AA147" s="2">
        <v>132.4</v>
      </c>
      <c r="AB147" s="2">
        <v>120.9</v>
      </c>
      <c r="AC147" s="2">
        <v>122.1</v>
      </c>
      <c r="AD147" s="2">
        <v>127.8</v>
      </c>
      <c r="AE147" s="2">
        <f t="shared" si="20"/>
        <v>1713.2</v>
      </c>
      <c r="AF147" s="2">
        <f t="shared" si="21"/>
        <v>381.5</v>
      </c>
      <c r="AG147" s="2">
        <f t="shared" si="22"/>
        <v>254.7</v>
      </c>
      <c r="AH147" s="2">
        <f t="shared" si="23"/>
        <v>118</v>
      </c>
      <c r="AI147" s="2">
        <f t="shared" si="24"/>
        <v>880.80000000000007</v>
      </c>
      <c r="AJ147" s="2">
        <f t="shared" si="25"/>
        <v>131.78461538461539</v>
      </c>
      <c r="AK147" s="2">
        <f t="shared" si="26"/>
        <v>127.16666666666667</v>
      </c>
      <c r="AL147" s="2">
        <f t="shared" si="27"/>
        <v>127.35</v>
      </c>
      <c r="AM147" s="2">
        <f t="shared" si="28"/>
        <v>118</v>
      </c>
      <c r="AN147" s="2">
        <f t="shared" si="29"/>
        <v>125.82857142857144</v>
      </c>
    </row>
    <row r="148" spans="1:40" x14ac:dyDescent="0.3">
      <c r="A148" t="s">
        <v>33</v>
      </c>
      <c r="B148">
        <v>2017</v>
      </c>
      <c r="C148" t="s">
        <v>31</v>
      </c>
      <c r="D148" s="2">
        <v>132.80000000000001</v>
      </c>
      <c r="E148" s="2">
        <v>138.19999999999999</v>
      </c>
      <c r="F148" s="2">
        <v>132.19999999999999</v>
      </c>
      <c r="G148" s="2">
        <v>135.4</v>
      </c>
      <c r="H148" s="2">
        <v>119.1</v>
      </c>
      <c r="I148" s="2">
        <v>133</v>
      </c>
      <c r="J148" s="2">
        <v>119.4</v>
      </c>
      <c r="K148" s="2">
        <v>159.5</v>
      </c>
      <c r="L148" s="2">
        <v>115.6</v>
      </c>
      <c r="M148" s="2">
        <v>139.6</v>
      </c>
      <c r="N148" s="2">
        <v>126.6</v>
      </c>
      <c r="O148" s="2">
        <v>142.80000000000001</v>
      </c>
      <c r="P148" s="2">
        <v>133.1</v>
      </c>
      <c r="Q148" s="2">
        <v>143.80000000000001</v>
      </c>
      <c r="R148" s="2">
        <v>136.6</v>
      </c>
      <c r="S148" s="2">
        <v>130.19999999999999</v>
      </c>
      <c r="T148" s="2">
        <v>135.6</v>
      </c>
      <c r="U148" s="2">
        <v>129.6</v>
      </c>
      <c r="V148" s="2">
        <v>126.8</v>
      </c>
      <c r="W148" s="2">
        <v>129.4</v>
      </c>
      <c r="X148" s="2">
        <v>127.1</v>
      </c>
      <c r="Y148" s="2">
        <v>117</v>
      </c>
      <c r="Z148" s="2">
        <v>124.2</v>
      </c>
      <c r="AA148" s="2">
        <v>133.30000000000001</v>
      </c>
      <c r="AB148" s="2">
        <v>121.7</v>
      </c>
      <c r="AC148" s="2">
        <v>124.4</v>
      </c>
      <c r="AD148" s="2">
        <v>130.30000000000001</v>
      </c>
      <c r="AE148" s="2">
        <f t="shared" si="20"/>
        <v>1727.2999999999995</v>
      </c>
      <c r="AF148" s="2">
        <f t="shared" si="21"/>
        <v>402.4</v>
      </c>
      <c r="AG148" s="2">
        <f t="shared" si="22"/>
        <v>259</v>
      </c>
      <c r="AH148" s="2">
        <f t="shared" si="23"/>
        <v>126.8</v>
      </c>
      <c r="AI148" s="2">
        <f t="shared" si="24"/>
        <v>891.5</v>
      </c>
      <c r="AJ148" s="2">
        <f t="shared" si="25"/>
        <v>132.86923076923074</v>
      </c>
      <c r="AK148" s="2">
        <f t="shared" si="26"/>
        <v>134.13333333333333</v>
      </c>
      <c r="AL148" s="2">
        <f t="shared" si="27"/>
        <v>129.5</v>
      </c>
      <c r="AM148" s="2">
        <f t="shared" si="28"/>
        <v>126.8</v>
      </c>
      <c r="AN148" s="2">
        <f t="shared" si="29"/>
        <v>127.35714285714286</v>
      </c>
    </row>
    <row r="149" spans="1:40" x14ac:dyDescent="0.3">
      <c r="A149" t="s">
        <v>30</v>
      </c>
      <c r="B149">
        <v>2017</v>
      </c>
      <c r="C149" t="s">
        <v>34</v>
      </c>
      <c r="D149" s="2">
        <v>133.30000000000001</v>
      </c>
      <c r="E149" s="2">
        <v>138.30000000000001</v>
      </c>
      <c r="F149" s="2">
        <v>129.30000000000001</v>
      </c>
      <c r="G149" s="2">
        <v>137.19999999999999</v>
      </c>
      <c r="H149" s="2">
        <v>122.1</v>
      </c>
      <c r="I149" s="2">
        <v>138.69999999999999</v>
      </c>
      <c r="J149" s="2">
        <v>119.1</v>
      </c>
      <c r="K149" s="2">
        <v>156.9</v>
      </c>
      <c r="L149" s="2">
        <v>116.2</v>
      </c>
      <c r="M149" s="2">
        <v>136</v>
      </c>
      <c r="N149" s="2">
        <v>129.4</v>
      </c>
      <c r="O149" s="2">
        <v>144.4</v>
      </c>
      <c r="P149" s="2">
        <v>133.6</v>
      </c>
      <c r="Q149" s="2">
        <v>143.69999999999999</v>
      </c>
      <c r="R149" s="2">
        <v>140.9</v>
      </c>
      <c r="S149" s="2">
        <v>135.80000000000001</v>
      </c>
      <c r="T149" s="2">
        <v>140.19999999999999</v>
      </c>
      <c r="U149" s="2">
        <f>AVERAGE(U150,U151)</f>
        <v>130.5</v>
      </c>
      <c r="V149" s="2">
        <v>133.19999999999999</v>
      </c>
      <c r="W149" s="2">
        <v>133.6</v>
      </c>
      <c r="X149" s="2">
        <v>130.1</v>
      </c>
      <c r="Y149" s="2">
        <v>119.5</v>
      </c>
      <c r="Z149" s="2">
        <v>127.7</v>
      </c>
      <c r="AA149" s="2">
        <v>134.9</v>
      </c>
      <c r="AB149" s="2">
        <v>123.2</v>
      </c>
      <c r="AC149" s="2">
        <v>127</v>
      </c>
      <c r="AD149" s="2">
        <v>132.6</v>
      </c>
      <c r="AE149" s="2">
        <f t="shared" si="20"/>
        <v>1734.5000000000002</v>
      </c>
      <c r="AF149" s="2">
        <f t="shared" si="21"/>
        <v>416.90000000000003</v>
      </c>
      <c r="AG149" s="2">
        <f t="shared" si="22"/>
        <v>264.10000000000002</v>
      </c>
      <c r="AH149" s="2">
        <f t="shared" si="23"/>
        <v>133.19999999999999</v>
      </c>
      <c r="AI149" s="2">
        <f t="shared" si="24"/>
        <v>906.10000000000014</v>
      </c>
      <c r="AJ149" s="2">
        <f t="shared" si="25"/>
        <v>133.42307692307693</v>
      </c>
      <c r="AK149" s="2">
        <f t="shared" si="26"/>
        <v>138.96666666666667</v>
      </c>
      <c r="AL149" s="2">
        <f t="shared" si="27"/>
        <v>132.05000000000001</v>
      </c>
      <c r="AM149" s="2">
        <f t="shared" si="28"/>
        <v>133.19999999999999</v>
      </c>
      <c r="AN149" s="2">
        <f t="shared" si="29"/>
        <v>129.44285714285715</v>
      </c>
    </row>
    <row r="150" spans="1:40" x14ac:dyDescent="0.3">
      <c r="A150" t="s">
        <v>32</v>
      </c>
      <c r="B150">
        <v>2017</v>
      </c>
      <c r="C150" t="s">
        <v>34</v>
      </c>
      <c r="D150" s="2">
        <v>132.80000000000001</v>
      </c>
      <c r="E150" s="2">
        <v>139.80000000000001</v>
      </c>
      <c r="F150" s="2">
        <v>129.30000000000001</v>
      </c>
      <c r="G150" s="2">
        <v>133.5</v>
      </c>
      <c r="H150" s="2">
        <v>114.3</v>
      </c>
      <c r="I150" s="2">
        <v>131.4</v>
      </c>
      <c r="J150" s="2">
        <v>120.2</v>
      </c>
      <c r="K150" s="2">
        <v>143.1</v>
      </c>
      <c r="L150" s="2">
        <v>119.5</v>
      </c>
      <c r="M150" s="2">
        <v>144</v>
      </c>
      <c r="N150" s="2">
        <v>123.4</v>
      </c>
      <c r="O150" s="2">
        <v>141.9</v>
      </c>
      <c r="P150" s="2">
        <v>132.1</v>
      </c>
      <c r="Q150" s="2">
        <v>146.30000000000001</v>
      </c>
      <c r="R150" s="2">
        <v>130.5</v>
      </c>
      <c r="S150" s="2">
        <v>122.5</v>
      </c>
      <c r="T150" s="2">
        <v>129.30000000000001</v>
      </c>
      <c r="U150" s="2">
        <v>130.5</v>
      </c>
      <c r="V150" s="2">
        <v>119.2</v>
      </c>
      <c r="W150" s="2">
        <v>125.3</v>
      </c>
      <c r="X150" s="2">
        <v>122.9</v>
      </c>
      <c r="Y150" s="2">
        <v>115.5</v>
      </c>
      <c r="Z150" s="2">
        <v>122.2</v>
      </c>
      <c r="AA150" s="2">
        <v>132.4</v>
      </c>
      <c r="AB150" s="2">
        <v>121.7</v>
      </c>
      <c r="AC150" s="2">
        <v>122.4</v>
      </c>
      <c r="AD150" s="2">
        <v>128.19999999999999</v>
      </c>
      <c r="AE150" s="2">
        <f t="shared" si="20"/>
        <v>1705.3000000000002</v>
      </c>
      <c r="AF150" s="2">
        <f t="shared" si="21"/>
        <v>382.3</v>
      </c>
      <c r="AG150" s="2">
        <f t="shared" si="22"/>
        <v>255.8</v>
      </c>
      <c r="AH150" s="2">
        <f t="shared" si="23"/>
        <v>119.2</v>
      </c>
      <c r="AI150" s="2">
        <f t="shared" si="24"/>
        <v>883.40000000000009</v>
      </c>
      <c r="AJ150" s="2">
        <f t="shared" si="25"/>
        <v>131.17692307692309</v>
      </c>
      <c r="AK150" s="2">
        <f t="shared" si="26"/>
        <v>127.43333333333334</v>
      </c>
      <c r="AL150" s="2">
        <f t="shared" si="27"/>
        <v>127.9</v>
      </c>
      <c r="AM150" s="2">
        <f t="shared" si="28"/>
        <v>119.2</v>
      </c>
      <c r="AN150" s="2">
        <f t="shared" si="29"/>
        <v>126.20000000000002</v>
      </c>
    </row>
    <row r="151" spans="1:40" x14ac:dyDescent="0.3">
      <c r="A151" t="s">
        <v>33</v>
      </c>
      <c r="B151">
        <v>2017</v>
      </c>
      <c r="C151" t="s">
        <v>34</v>
      </c>
      <c r="D151" s="2">
        <v>133.1</v>
      </c>
      <c r="E151" s="2">
        <v>138.80000000000001</v>
      </c>
      <c r="F151" s="2">
        <v>129.30000000000001</v>
      </c>
      <c r="G151" s="2">
        <v>135.80000000000001</v>
      </c>
      <c r="H151" s="2">
        <v>119.2</v>
      </c>
      <c r="I151" s="2">
        <v>135.30000000000001</v>
      </c>
      <c r="J151" s="2">
        <v>119.5</v>
      </c>
      <c r="K151" s="2">
        <v>152.19999999999999</v>
      </c>
      <c r="L151" s="2">
        <v>117.3</v>
      </c>
      <c r="M151" s="2">
        <v>138.69999999999999</v>
      </c>
      <c r="N151" s="2">
        <v>126.9</v>
      </c>
      <c r="O151" s="2">
        <v>143.19999999999999</v>
      </c>
      <c r="P151" s="2">
        <v>133</v>
      </c>
      <c r="Q151" s="2">
        <v>144.4</v>
      </c>
      <c r="R151" s="2">
        <v>136.80000000000001</v>
      </c>
      <c r="S151" s="2">
        <v>130.30000000000001</v>
      </c>
      <c r="T151" s="2">
        <v>135.9</v>
      </c>
      <c r="U151" s="2">
        <v>130.5</v>
      </c>
      <c r="V151" s="2">
        <v>127.9</v>
      </c>
      <c r="W151" s="2">
        <v>129.69999999999999</v>
      </c>
      <c r="X151" s="2">
        <v>127.4</v>
      </c>
      <c r="Y151" s="2">
        <v>117.4</v>
      </c>
      <c r="Z151" s="2">
        <v>124.6</v>
      </c>
      <c r="AA151" s="2">
        <v>133.4</v>
      </c>
      <c r="AB151" s="2">
        <v>122.6</v>
      </c>
      <c r="AC151" s="2">
        <v>124.8</v>
      </c>
      <c r="AD151" s="2">
        <v>130.6</v>
      </c>
      <c r="AE151" s="2">
        <f t="shared" si="20"/>
        <v>1722.3000000000002</v>
      </c>
      <c r="AF151" s="2">
        <f t="shared" si="21"/>
        <v>403</v>
      </c>
      <c r="AG151" s="2">
        <f t="shared" si="22"/>
        <v>260.2</v>
      </c>
      <c r="AH151" s="2">
        <f t="shared" si="23"/>
        <v>127.9</v>
      </c>
      <c r="AI151" s="2">
        <f t="shared" si="24"/>
        <v>894.59999999999991</v>
      </c>
      <c r="AJ151" s="2">
        <f t="shared" si="25"/>
        <v>132.48461538461541</v>
      </c>
      <c r="AK151" s="2">
        <f t="shared" si="26"/>
        <v>134.33333333333334</v>
      </c>
      <c r="AL151" s="2">
        <f t="shared" si="27"/>
        <v>130.1</v>
      </c>
      <c r="AM151" s="2">
        <f t="shared" si="28"/>
        <v>127.9</v>
      </c>
      <c r="AN151" s="2">
        <f t="shared" si="29"/>
        <v>127.79999999999998</v>
      </c>
    </row>
    <row r="152" spans="1:40" x14ac:dyDescent="0.3">
      <c r="A152" t="s">
        <v>30</v>
      </c>
      <c r="B152">
        <v>2017</v>
      </c>
      <c r="C152" t="s">
        <v>35</v>
      </c>
      <c r="D152" s="2">
        <v>133.6</v>
      </c>
      <c r="E152" s="2">
        <v>138.80000000000001</v>
      </c>
      <c r="F152" s="2">
        <v>128.80000000000001</v>
      </c>
      <c r="G152" s="2">
        <v>137.19999999999999</v>
      </c>
      <c r="H152" s="2">
        <v>121.6</v>
      </c>
      <c r="I152" s="2">
        <v>139.69999999999999</v>
      </c>
      <c r="J152" s="2">
        <v>119.7</v>
      </c>
      <c r="K152" s="2">
        <v>148</v>
      </c>
      <c r="L152" s="2">
        <v>116.9</v>
      </c>
      <c r="M152" s="2">
        <v>135.6</v>
      </c>
      <c r="N152" s="2">
        <v>129.80000000000001</v>
      </c>
      <c r="O152" s="2">
        <v>145.4</v>
      </c>
      <c r="P152" s="2">
        <v>133.4</v>
      </c>
      <c r="Q152" s="2">
        <v>144.19999999999999</v>
      </c>
      <c r="R152" s="2">
        <v>141.6</v>
      </c>
      <c r="S152" s="2">
        <v>136.19999999999999</v>
      </c>
      <c r="T152" s="2">
        <v>140.80000000000001</v>
      </c>
      <c r="U152" s="2">
        <f>AVERAGE(U153,U154)</f>
        <v>131.1</v>
      </c>
      <c r="V152" s="2">
        <v>134.19999999999999</v>
      </c>
      <c r="W152" s="2">
        <v>134.1</v>
      </c>
      <c r="X152" s="2">
        <v>130.6</v>
      </c>
      <c r="Y152" s="2">
        <v>119.8</v>
      </c>
      <c r="Z152" s="2">
        <v>128.30000000000001</v>
      </c>
      <c r="AA152" s="2">
        <v>135.19999999999999</v>
      </c>
      <c r="AB152" s="2">
        <v>123.3</v>
      </c>
      <c r="AC152" s="2">
        <v>127.4</v>
      </c>
      <c r="AD152" s="2">
        <v>132.80000000000001</v>
      </c>
      <c r="AE152" s="2">
        <f t="shared" si="20"/>
        <v>1728.5000000000002</v>
      </c>
      <c r="AF152" s="2">
        <f t="shared" si="21"/>
        <v>418.59999999999997</v>
      </c>
      <c r="AG152" s="2">
        <f t="shared" si="22"/>
        <v>265.2</v>
      </c>
      <c r="AH152" s="2">
        <f t="shared" si="23"/>
        <v>134.19999999999999</v>
      </c>
      <c r="AI152" s="2">
        <f t="shared" si="24"/>
        <v>908.8</v>
      </c>
      <c r="AJ152" s="2">
        <f t="shared" si="25"/>
        <v>132.96153846153848</v>
      </c>
      <c r="AK152" s="2">
        <f t="shared" si="26"/>
        <v>139.53333333333333</v>
      </c>
      <c r="AL152" s="2">
        <f t="shared" si="27"/>
        <v>132.6</v>
      </c>
      <c r="AM152" s="2">
        <f t="shared" si="28"/>
        <v>134.19999999999999</v>
      </c>
      <c r="AN152" s="2">
        <f t="shared" si="29"/>
        <v>129.82857142857142</v>
      </c>
    </row>
    <row r="153" spans="1:40" x14ac:dyDescent="0.3">
      <c r="A153" t="s">
        <v>32</v>
      </c>
      <c r="B153">
        <v>2017</v>
      </c>
      <c r="C153" t="s">
        <v>35</v>
      </c>
      <c r="D153" s="2">
        <v>132.69999999999999</v>
      </c>
      <c r="E153" s="2">
        <v>139.4</v>
      </c>
      <c r="F153" s="2">
        <v>128.4</v>
      </c>
      <c r="G153" s="2">
        <v>134.9</v>
      </c>
      <c r="H153" s="2">
        <v>114</v>
      </c>
      <c r="I153" s="2">
        <v>136.80000000000001</v>
      </c>
      <c r="J153" s="2">
        <v>122.2</v>
      </c>
      <c r="K153" s="2">
        <v>135.80000000000001</v>
      </c>
      <c r="L153" s="2">
        <v>120.3</v>
      </c>
      <c r="M153" s="2">
        <v>142.6</v>
      </c>
      <c r="N153" s="2">
        <v>123.6</v>
      </c>
      <c r="O153" s="2">
        <v>142.4</v>
      </c>
      <c r="P153" s="2">
        <v>132.6</v>
      </c>
      <c r="Q153" s="2">
        <v>147.5</v>
      </c>
      <c r="R153" s="2">
        <v>130.80000000000001</v>
      </c>
      <c r="S153" s="2">
        <v>122.8</v>
      </c>
      <c r="T153" s="2">
        <v>129.6</v>
      </c>
      <c r="U153" s="2">
        <v>131.1</v>
      </c>
      <c r="V153" s="2">
        <v>120.8</v>
      </c>
      <c r="W153" s="2">
        <v>125.6</v>
      </c>
      <c r="X153" s="2">
        <v>123.1</v>
      </c>
      <c r="Y153" s="2">
        <v>115.6</v>
      </c>
      <c r="Z153" s="2">
        <v>122.4</v>
      </c>
      <c r="AA153" s="2">
        <v>132.80000000000001</v>
      </c>
      <c r="AB153" s="2">
        <v>121.7</v>
      </c>
      <c r="AC153" s="2">
        <v>122.6</v>
      </c>
      <c r="AD153" s="2">
        <v>128.69999999999999</v>
      </c>
      <c r="AE153" s="2">
        <f t="shared" si="20"/>
        <v>1705.6999999999998</v>
      </c>
      <c r="AF153" s="2">
        <f t="shared" si="21"/>
        <v>383.20000000000005</v>
      </c>
      <c r="AG153" s="2">
        <f t="shared" si="22"/>
        <v>256.7</v>
      </c>
      <c r="AH153" s="2">
        <f t="shared" si="23"/>
        <v>120.8</v>
      </c>
      <c r="AI153" s="2">
        <f t="shared" si="24"/>
        <v>885.7</v>
      </c>
      <c r="AJ153" s="2">
        <f t="shared" si="25"/>
        <v>131.2076923076923</v>
      </c>
      <c r="AK153" s="2">
        <f t="shared" si="26"/>
        <v>127.73333333333335</v>
      </c>
      <c r="AL153" s="2">
        <f t="shared" si="27"/>
        <v>128.35</v>
      </c>
      <c r="AM153" s="2">
        <f t="shared" si="28"/>
        <v>120.8</v>
      </c>
      <c r="AN153" s="2">
        <f t="shared" si="29"/>
        <v>126.52857142857144</v>
      </c>
    </row>
    <row r="154" spans="1:40" x14ac:dyDescent="0.3">
      <c r="A154" t="s">
        <v>33</v>
      </c>
      <c r="B154">
        <v>2017</v>
      </c>
      <c r="C154" t="s">
        <v>35</v>
      </c>
      <c r="D154" s="2">
        <v>133.30000000000001</v>
      </c>
      <c r="E154" s="2">
        <v>139</v>
      </c>
      <c r="F154" s="2">
        <v>128.6</v>
      </c>
      <c r="G154" s="2">
        <v>136.30000000000001</v>
      </c>
      <c r="H154" s="2">
        <v>118.8</v>
      </c>
      <c r="I154" s="2">
        <v>138.30000000000001</v>
      </c>
      <c r="J154" s="2">
        <v>120.5</v>
      </c>
      <c r="K154" s="2">
        <v>143.9</v>
      </c>
      <c r="L154" s="2">
        <v>118</v>
      </c>
      <c r="M154" s="2">
        <v>137.9</v>
      </c>
      <c r="N154" s="2">
        <v>127.2</v>
      </c>
      <c r="O154" s="2">
        <v>144</v>
      </c>
      <c r="P154" s="2">
        <v>133.1</v>
      </c>
      <c r="Q154" s="2">
        <v>145.1</v>
      </c>
      <c r="R154" s="2">
        <v>137.30000000000001</v>
      </c>
      <c r="S154" s="2">
        <v>130.6</v>
      </c>
      <c r="T154" s="2">
        <v>136.4</v>
      </c>
      <c r="U154" s="2">
        <v>131.1</v>
      </c>
      <c r="V154" s="2">
        <v>129.1</v>
      </c>
      <c r="W154" s="2">
        <v>130.1</v>
      </c>
      <c r="X154" s="2">
        <v>127.8</v>
      </c>
      <c r="Y154" s="2">
        <v>117.6</v>
      </c>
      <c r="Z154" s="2">
        <v>125</v>
      </c>
      <c r="AA154" s="2">
        <v>133.80000000000001</v>
      </c>
      <c r="AB154" s="2">
        <v>122.6</v>
      </c>
      <c r="AC154" s="2">
        <v>125.1</v>
      </c>
      <c r="AD154" s="2">
        <v>130.9</v>
      </c>
      <c r="AE154" s="2">
        <f t="shared" si="20"/>
        <v>1718.9</v>
      </c>
      <c r="AF154" s="2">
        <f t="shared" si="21"/>
        <v>404.29999999999995</v>
      </c>
      <c r="AG154" s="2">
        <f t="shared" si="22"/>
        <v>261.2</v>
      </c>
      <c r="AH154" s="2">
        <f t="shared" si="23"/>
        <v>129.1</v>
      </c>
      <c r="AI154" s="2">
        <f t="shared" si="24"/>
        <v>897</v>
      </c>
      <c r="AJ154" s="2">
        <f t="shared" si="25"/>
        <v>132.22307692307692</v>
      </c>
      <c r="AK154" s="2">
        <f t="shared" si="26"/>
        <v>134.76666666666665</v>
      </c>
      <c r="AL154" s="2">
        <f t="shared" si="27"/>
        <v>130.6</v>
      </c>
      <c r="AM154" s="2">
        <f t="shared" si="28"/>
        <v>129.1</v>
      </c>
      <c r="AN154" s="2">
        <f t="shared" si="29"/>
        <v>128.14285714285714</v>
      </c>
    </row>
    <row r="155" spans="1:40" x14ac:dyDescent="0.3">
      <c r="A155" t="s">
        <v>30</v>
      </c>
      <c r="B155">
        <v>2017</v>
      </c>
      <c r="C155" t="s">
        <v>36</v>
      </c>
      <c r="D155" s="2">
        <v>133.19999999999999</v>
      </c>
      <c r="E155" s="2">
        <v>138.69999999999999</v>
      </c>
      <c r="F155" s="2">
        <v>127.1</v>
      </c>
      <c r="G155" s="2">
        <v>137.69999999999999</v>
      </c>
      <c r="H155" s="2">
        <v>121.3</v>
      </c>
      <c r="I155" s="2">
        <v>141.80000000000001</v>
      </c>
      <c r="J155" s="2">
        <v>121.5</v>
      </c>
      <c r="K155" s="2">
        <v>144.5</v>
      </c>
      <c r="L155" s="2">
        <v>117.4</v>
      </c>
      <c r="M155" s="2">
        <v>134.1</v>
      </c>
      <c r="N155" s="2">
        <v>130</v>
      </c>
      <c r="O155" s="2">
        <v>145.5</v>
      </c>
      <c r="P155" s="2">
        <v>133.5</v>
      </c>
      <c r="Q155" s="2">
        <v>144.4</v>
      </c>
      <c r="R155" s="2">
        <v>142.4</v>
      </c>
      <c r="S155" s="2">
        <v>136.80000000000001</v>
      </c>
      <c r="T155" s="2">
        <v>141.6</v>
      </c>
      <c r="U155" s="2">
        <f>AVERAGE(U156,U157)</f>
        <v>131.69999999999999</v>
      </c>
      <c r="V155" s="2">
        <v>135</v>
      </c>
      <c r="W155" s="2">
        <v>134.30000000000001</v>
      </c>
      <c r="X155" s="2">
        <v>131</v>
      </c>
      <c r="Y155" s="2">
        <v>119.2</v>
      </c>
      <c r="Z155" s="2">
        <v>128.30000000000001</v>
      </c>
      <c r="AA155" s="2">
        <v>135.69999999999999</v>
      </c>
      <c r="AB155" s="2">
        <v>123.7</v>
      </c>
      <c r="AC155" s="2">
        <v>127.5</v>
      </c>
      <c r="AD155" s="2">
        <v>132.9</v>
      </c>
      <c r="AE155" s="2">
        <f t="shared" si="20"/>
        <v>1726.3</v>
      </c>
      <c r="AF155" s="2">
        <f t="shared" si="21"/>
        <v>420.80000000000007</v>
      </c>
      <c r="AG155" s="2">
        <f t="shared" si="22"/>
        <v>266</v>
      </c>
      <c r="AH155" s="2">
        <f t="shared" si="23"/>
        <v>135</v>
      </c>
      <c r="AI155" s="2">
        <f t="shared" si="24"/>
        <v>909.80000000000007</v>
      </c>
      <c r="AJ155" s="2">
        <f t="shared" si="25"/>
        <v>132.7923076923077</v>
      </c>
      <c r="AK155" s="2">
        <f t="shared" si="26"/>
        <v>140.26666666666668</v>
      </c>
      <c r="AL155" s="2">
        <f t="shared" si="27"/>
        <v>133</v>
      </c>
      <c r="AM155" s="2">
        <f t="shared" si="28"/>
        <v>135</v>
      </c>
      <c r="AN155" s="2">
        <f t="shared" si="29"/>
        <v>129.97142857142859</v>
      </c>
    </row>
    <row r="156" spans="1:40" x14ac:dyDescent="0.3">
      <c r="A156" t="s">
        <v>32</v>
      </c>
      <c r="B156">
        <v>2017</v>
      </c>
      <c r="C156" t="s">
        <v>36</v>
      </c>
      <c r="D156" s="2">
        <v>132.69999999999999</v>
      </c>
      <c r="E156" s="2">
        <v>140.6</v>
      </c>
      <c r="F156" s="2">
        <v>124.5</v>
      </c>
      <c r="G156" s="2">
        <v>136.30000000000001</v>
      </c>
      <c r="H156" s="2">
        <v>113.5</v>
      </c>
      <c r="I156" s="2">
        <v>137.69999999999999</v>
      </c>
      <c r="J156" s="2">
        <v>127.1</v>
      </c>
      <c r="K156" s="2">
        <v>133.80000000000001</v>
      </c>
      <c r="L156" s="2">
        <v>120.8</v>
      </c>
      <c r="M156" s="2">
        <v>141.30000000000001</v>
      </c>
      <c r="N156" s="2">
        <v>123.8</v>
      </c>
      <c r="O156" s="2">
        <v>142.6</v>
      </c>
      <c r="P156" s="2">
        <v>133.4</v>
      </c>
      <c r="Q156" s="2">
        <v>148</v>
      </c>
      <c r="R156" s="2">
        <v>131.19999999999999</v>
      </c>
      <c r="S156" s="2">
        <v>123</v>
      </c>
      <c r="T156" s="2">
        <v>130</v>
      </c>
      <c r="U156" s="2">
        <v>131.69999999999999</v>
      </c>
      <c r="V156" s="2">
        <v>121.4</v>
      </c>
      <c r="W156" s="2">
        <v>126</v>
      </c>
      <c r="X156" s="2">
        <v>123.4</v>
      </c>
      <c r="Y156" s="2">
        <v>114.3</v>
      </c>
      <c r="Z156" s="2">
        <v>122.6</v>
      </c>
      <c r="AA156" s="2">
        <v>133.6</v>
      </c>
      <c r="AB156" s="2">
        <v>122.2</v>
      </c>
      <c r="AC156" s="2">
        <v>122.5</v>
      </c>
      <c r="AD156" s="2">
        <v>129.1</v>
      </c>
      <c r="AE156" s="2">
        <f t="shared" si="20"/>
        <v>1708.1</v>
      </c>
      <c r="AF156" s="2">
        <f t="shared" si="21"/>
        <v>384.2</v>
      </c>
      <c r="AG156" s="2">
        <f t="shared" si="22"/>
        <v>257.7</v>
      </c>
      <c r="AH156" s="2">
        <f t="shared" si="23"/>
        <v>121.4</v>
      </c>
      <c r="AI156" s="2">
        <f t="shared" si="24"/>
        <v>886.6</v>
      </c>
      <c r="AJ156" s="2">
        <f t="shared" si="25"/>
        <v>131.3923076923077</v>
      </c>
      <c r="AK156" s="2">
        <f t="shared" si="26"/>
        <v>128.06666666666666</v>
      </c>
      <c r="AL156" s="2">
        <f t="shared" si="27"/>
        <v>128.85</v>
      </c>
      <c r="AM156" s="2">
        <f t="shared" si="28"/>
        <v>121.4</v>
      </c>
      <c r="AN156" s="2">
        <f t="shared" si="29"/>
        <v>126.65714285714286</v>
      </c>
    </row>
    <row r="157" spans="1:40" x14ac:dyDescent="0.3">
      <c r="A157" t="s">
        <v>33</v>
      </c>
      <c r="B157">
        <v>2017</v>
      </c>
      <c r="C157" t="s">
        <v>36</v>
      </c>
      <c r="D157" s="2">
        <v>133</v>
      </c>
      <c r="E157" s="2">
        <v>139.4</v>
      </c>
      <c r="F157" s="2">
        <v>126.1</v>
      </c>
      <c r="G157" s="2">
        <v>137.19999999999999</v>
      </c>
      <c r="H157" s="2">
        <v>118.4</v>
      </c>
      <c r="I157" s="2">
        <v>139.9</v>
      </c>
      <c r="J157" s="2">
        <v>123.4</v>
      </c>
      <c r="K157" s="2">
        <v>140.9</v>
      </c>
      <c r="L157" s="2">
        <v>118.5</v>
      </c>
      <c r="M157" s="2">
        <v>136.5</v>
      </c>
      <c r="N157" s="2">
        <v>127.4</v>
      </c>
      <c r="O157" s="2">
        <v>144.19999999999999</v>
      </c>
      <c r="P157" s="2">
        <v>133.5</v>
      </c>
      <c r="Q157" s="2">
        <v>145.4</v>
      </c>
      <c r="R157" s="2">
        <v>138</v>
      </c>
      <c r="S157" s="2">
        <v>131.1</v>
      </c>
      <c r="T157" s="2">
        <v>137</v>
      </c>
      <c r="U157" s="2">
        <v>131.69999999999999</v>
      </c>
      <c r="V157" s="2">
        <v>129.80000000000001</v>
      </c>
      <c r="W157" s="2">
        <v>130.4</v>
      </c>
      <c r="X157" s="2">
        <v>128.1</v>
      </c>
      <c r="Y157" s="2">
        <v>116.6</v>
      </c>
      <c r="Z157" s="2">
        <v>125.1</v>
      </c>
      <c r="AA157" s="2">
        <v>134.5</v>
      </c>
      <c r="AB157" s="2">
        <v>123.1</v>
      </c>
      <c r="AC157" s="2">
        <v>125.1</v>
      </c>
      <c r="AD157" s="2">
        <v>131.1</v>
      </c>
      <c r="AE157" s="2">
        <f t="shared" si="20"/>
        <v>1718.4</v>
      </c>
      <c r="AF157" s="2">
        <f t="shared" si="21"/>
        <v>406.1</v>
      </c>
      <c r="AG157" s="2">
        <f t="shared" si="22"/>
        <v>262.10000000000002</v>
      </c>
      <c r="AH157" s="2">
        <f t="shared" si="23"/>
        <v>129.80000000000001</v>
      </c>
      <c r="AI157" s="2">
        <f t="shared" si="24"/>
        <v>897.9</v>
      </c>
      <c r="AJ157" s="2">
        <f t="shared" si="25"/>
        <v>132.1846153846154</v>
      </c>
      <c r="AK157" s="2">
        <f t="shared" si="26"/>
        <v>135.36666666666667</v>
      </c>
      <c r="AL157" s="2">
        <f t="shared" si="27"/>
        <v>131.05000000000001</v>
      </c>
      <c r="AM157" s="2">
        <f t="shared" si="28"/>
        <v>129.80000000000001</v>
      </c>
      <c r="AN157" s="2">
        <f t="shared" si="29"/>
        <v>128.27142857142857</v>
      </c>
    </row>
    <row r="158" spans="1:40" x14ac:dyDescent="0.3">
      <c r="A158" t="s">
        <v>30</v>
      </c>
      <c r="B158">
        <v>2017</v>
      </c>
      <c r="C158" t="s">
        <v>37</v>
      </c>
      <c r="D158" s="2">
        <v>133.1</v>
      </c>
      <c r="E158" s="2">
        <v>140.30000000000001</v>
      </c>
      <c r="F158" s="2">
        <v>126.8</v>
      </c>
      <c r="G158" s="2">
        <v>138.19999999999999</v>
      </c>
      <c r="H158" s="2">
        <v>120.8</v>
      </c>
      <c r="I158" s="2">
        <v>140.19999999999999</v>
      </c>
      <c r="J158" s="2">
        <v>123.8</v>
      </c>
      <c r="K158" s="2">
        <v>141.80000000000001</v>
      </c>
      <c r="L158" s="2">
        <v>118.6</v>
      </c>
      <c r="M158" s="2">
        <v>134</v>
      </c>
      <c r="N158" s="2">
        <v>130.30000000000001</v>
      </c>
      <c r="O158" s="2">
        <v>145.80000000000001</v>
      </c>
      <c r="P158" s="2">
        <v>133.80000000000001</v>
      </c>
      <c r="Q158" s="2">
        <v>145.5</v>
      </c>
      <c r="R158" s="2">
        <v>142.5</v>
      </c>
      <c r="S158" s="2">
        <v>137.30000000000001</v>
      </c>
      <c r="T158" s="2">
        <v>141.80000000000001</v>
      </c>
      <c r="U158" s="2">
        <f>AVERAGE(U159,U160)</f>
        <v>132.1</v>
      </c>
      <c r="V158" s="2">
        <v>135</v>
      </c>
      <c r="W158" s="2">
        <v>134.9</v>
      </c>
      <c r="X158" s="2">
        <v>131.4</v>
      </c>
      <c r="Y158" s="2">
        <v>119.4</v>
      </c>
      <c r="Z158" s="2">
        <v>129.4</v>
      </c>
      <c r="AA158" s="2">
        <v>136.30000000000001</v>
      </c>
      <c r="AB158" s="2">
        <v>123.7</v>
      </c>
      <c r="AC158" s="2">
        <v>127.9</v>
      </c>
      <c r="AD158" s="2">
        <v>133.30000000000001</v>
      </c>
      <c r="AE158" s="2">
        <f t="shared" si="20"/>
        <v>1727.4999999999995</v>
      </c>
      <c r="AF158" s="2">
        <f t="shared" si="21"/>
        <v>421.6</v>
      </c>
      <c r="AG158" s="2">
        <f t="shared" si="22"/>
        <v>267</v>
      </c>
      <c r="AH158" s="2">
        <f t="shared" si="23"/>
        <v>135</v>
      </c>
      <c r="AI158" s="2">
        <f t="shared" si="24"/>
        <v>913.6</v>
      </c>
      <c r="AJ158" s="2">
        <f t="shared" si="25"/>
        <v>132.88461538461536</v>
      </c>
      <c r="AK158" s="2">
        <f t="shared" si="26"/>
        <v>140.53333333333333</v>
      </c>
      <c r="AL158" s="2">
        <f t="shared" si="27"/>
        <v>133.5</v>
      </c>
      <c r="AM158" s="2">
        <f t="shared" si="28"/>
        <v>135</v>
      </c>
      <c r="AN158" s="2">
        <f t="shared" si="29"/>
        <v>130.51428571428571</v>
      </c>
    </row>
    <row r="159" spans="1:40" x14ac:dyDescent="0.3">
      <c r="A159" t="s">
        <v>32</v>
      </c>
      <c r="B159">
        <v>2017</v>
      </c>
      <c r="C159" t="s">
        <v>37</v>
      </c>
      <c r="D159" s="2">
        <v>132.6</v>
      </c>
      <c r="E159" s="2">
        <v>144.1</v>
      </c>
      <c r="F159" s="2">
        <v>125.6</v>
      </c>
      <c r="G159" s="2">
        <v>136.80000000000001</v>
      </c>
      <c r="H159" s="2">
        <v>113.4</v>
      </c>
      <c r="I159" s="2">
        <v>135.19999999999999</v>
      </c>
      <c r="J159" s="2">
        <v>129.19999999999999</v>
      </c>
      <c r="K159" s="2">
        <v>131.5</v>
      </c>
      <c r="L159" s="2">
        <v>121</v>
      </c>
      <c r="M159" s="2">
        <v>139.9</v>
      </c>
      <c r="N159" s="2">
        <v>123.8</v>
      </c>
      <c r="O159" s="2">
        <v>142.9</v>
      </c>
      <c r="P159" s="2">
        <v>133.6</v>
      </c>
      <c r="Q159" s="2">
        <v>148.30000000000001</v>
      </c>
      <c r="R159" s="2">
        <v>131.5</v>
      </c>
      <c r="S159" s="2">
        <v>123.2</v>
      </c>
      <c r="T159" s="2">
        <v>130.19999999999999</v>
      </c>
      <c r="U159" s="2">
        <v>132.1</v>
      </c>
      <c r="V159" s="2">
        <v>120.1</v>
      </c>
      <c r="W159" s="2">
        <v>126.5</v>
      </c>
      <c r="X159" s="2">
        <v>123.6</v>
      </c>
      <c r="Y159" s="2">
        <v>114.3</v>
      </c>
      <c r="Z159" s="2">
        <v>122.8</v>
      </c>
      <c r="AA159" s="2">
        <v>133.80000000000001</v>
      </c>
      <c r="AB159" s="2">
        <v>122</v>
      </c>
      <c r="AC159" s="2">
        <v>122.6</v>
      </c>
      <c r="AD159" s="2">
        <v>129.30000000000001</v>
      </c>
      <c r="AE159" s="2">
        <f t="shared" si="20"/>
        <v>1709.6</v>
      </c>
      <c r="AF159" s="2">
        <f t="shared" si="21"/>
        <v>384.9</v>
      </c>
      <c r="AG159" s="2">
        <f t="shared" si="22"/>
        <v>258.60000000000002</v>
      </c>
      <c r="AH159" s="2">
        <f t="shared" si="23"/>
        <v>120.1</v>
      </c>
      <c r="AI159" s="2">
        <f t="shared" si="24"/>
        <v>887.40000000000009</v>
      </c>
      <c r="AJ159" s="2">
        <f t="shared" si="25"/>
        <v>131.50769230769231</v>
      </c>
      <c r="AK159" s="2">
        <f t="shared" si="26"/>
        <v>128.29999999999998</v>
      </c>
      <c r="AL159" s="2">
        <f t="shared" si="27"/>
        <v>129.30000000000001</v>
      </c>
      <c r="AM159" s="2">
        <f t="shared" si="28"/>
        <v>120.1</v>
      </c>
      <c r="AN159" s="2">
        <f t="shared" si="29"/>
        <v>126.77142857142859</v>
      </c>
    </row>
    <row r="160" spans="1:40" x14ac:dyDescent="0.3">
      <c r="A160" t="s">
        <v>33</v>
      </c>
      <c r="B160">
        <v>2017</v>
      </c>
      <c r="C160" t="s">
        <v>37</v>
      </c>
      <c r="D160" s="2">
        <v>132.9</v>
      </c>
      <c r="E160" s="2">
        <v>141.6</v>
      </c>
      <c r="F160" s="2">
        <v>126.3</v>
      </c>
      <c r="G160" s="2">
        <v>137.69999999999999</v>
      </c>
      <c r="H160" s="2">
        <v>118.1</v>
      </c>
      <c r="I160" s="2">
        <v>137.9</v>
      </c>
      <c r="J160" s="2">
        <v>125.6</v>
      </c>
      <c r="K160" s="2">
        <v>138.30000000000001</v>
      </c>
      <c r="L160" s="2">
        <v>119.4</v>
      </c>
      <c r="M160" s="2">
        <v>136</v>
      </c>
      <c r="N160" s="2">
        <v>127.6</v>
      </c>
      <c r="O160" s="2">
        <v>144.5</v>
      </c>
      <c r="P160" s="2">
        <v>133.69999999999999</v>
      </c>
      <c r="Q160" s="2">
        <v>146.19999999999999</v>
      </c>
      <c r="R160" s="2">
        <v>138.19999999999999</v>
      </c>
      <c r="S160" s="2">
        <v>131.4</v>
      </c>
      <c r="T160" s="2">
        <v>137.19999999999999</v>
      </c>
      <c r="U160" s="2">
        <v>132.1</v>
      </c>
      <c r="V160" s="2">
        <v>129.4</v>
      </c>
      <c r="W160" s="2">
        <v>130.9</v>
      </c>
      <c r="X160" s="2">
        <v>128.4</v>
      </c>
      <c r="Y160" s="2">
        <v>116.7</v>
      </c>
      <c r="Z160" s="2">
        <v>125.7</v>
      </c>
      <c r="AA160" s="2">
        <v>134.80000000000001</v>
      </c>
      <c r="AB160" s="2">
        <v>123</v>
      </c>
      <c r="AC160" s="2">
        <v>125.3</v>
      </c>
      <c r="AD160" s="2">
        <v>131.4</v>
      </c>
      <c r="AE160" s="2">
        <f t="shared" si="20"/>
        <v>1719.6000000000001</v>
      </c>
      <c r="AF160" s="2">
        <f t="shared" si="21"/>
        <v>406.8</v>
      </c>
      <c r="AG160" s="2">
        <f t="shared" si="22"/>
        <v>263</v>
      </c>
      <c r="AH160" s="2">
        <f t="shared" si="23"/>
        <v>129.4</v>
      </c>
      <c r="AI160" s="2">
        <f t="shared" si="24"/>
        <v>900.09999999999991</v>
      </c>
      <c r="AJ160" s="2">
        <f t="shared" si="25"/>
        <v>132.27692307692308</v>
      </c>
      <c r="AK160" s="2">
        <f t="shared" si="26"/>
        <v>135.6</v>
      </c>
      <c r="AL160" s="2">
        <f t="shared" si="27"/>
        <v>131.5</v>
      </c>
      <c r="AM160" s="2">
        <f t="shared" si="28"/>
        <v>129.4</v>
      </c>
      <c r="AN160" s="2">
        <f t="shared" si="29"/>
        <v>128.58571428571426</v>
      </c>
    </row>
    <row r="161" spans="1:40" x14ac:dyDescent="0.3">
      <c r="A161" t="s">
        <v>30</v>
      </c>
      <c r="B161">
        <v>2017</v>
      </c>
      <c r="C161" t="s">
        <v>38</v>
      </c>
      <c r="D161" s="2">
        <v>133.5</v>
      </c>
      <c r="E161" s="2">
        <v>143.69999999999999</v>
      </c>
      <c r="F161" s="2">
        <v>128</v>
      </c>
      <c r="G161" s="2">
        <v>138.6</v>
      </c>
      <c r="H161" s="2">
        <v>120.9</v>
      </c>
      <c r="I161" s="2">
        <v>140.9</v>
      </c>
      <c r="J161" s="2">
        <v>128.80000000000001</v>
      </c>
      <c r="K161" s="2">
        <v>140.19999999999999</v>
      </c>
      <c r="L161" s="2">
        <v>118.9</v>
      </c>
      <c r="M161" s="2">
        <v>133.5</v>
      </c>
      <c r="N161" s="2">
        <v>130.4</v>
      </c>
      <c r="O161" s="2">
        <v>146.5</v>
      </c>
      <c r="P161" s="2">
        <v>134.9</v>
      </c>
      <c r="Q161" s="2">
        <v>145.80000000000001</v>
      </c>
      <c r="R161" s="2">
        <v>143.1</v>
      </c>
      <c r="S161" s="2">
        <v>137.69999999999999</v>
      </c>
      <c r="T161" s="2">
        <v>142.30000000000001</v>
      </c>
      <c r="U161" s="2">
        <f>AVERAGE(U162,U163)</f>
        <v>131.4</v>
      </c>
      <c r="V161" s="2">
        <v>134.80000000000001</v>
      </c>
      <c r="W161" s="2">
        <v>135.19999999999999</v>
      </c>
      <c r="X161" s="2">
        <v>131.30000000000001</v>
      </c>
      <c r="Y161" s="2">
        <v>119.4</v>
      </c>
      <c r="Z161" s="2">
        <v>129.80000000000001</v>
      </c>
      <c r="AA161" s="2">
        <v>136.9</v>
      </c>
      <c r="AB161" s="2">
        <v>124.1</v>
      </c>
      <c r="AC161" s="2">
        <v>128.1</v>
      </c>
      <c r="AD161" s="2">
        <v>133.9</v>
      </c>
      <c r="AE161" s="2">
        <f t="shared" si="20"/>
        <v>1738.8000000000002</v>
      </c>
      <c r="AF161" s="2">
        <f t="shared" si="21"/>
        <v>423.09999999999997</v>
      </c>
      <c r="AG161" s="2">
        <f t="shared" si="22"/>
        <v>266.60000000000002</v>
      </c>
      <c r="AH161" s="2">
        <f t="shared" si="23"/>
        <v>134.80000000000001</v>
      </c>
      <c r="AI161" s="2">
        <f t="shared" si="24"/>
        <v>915.40000000000009</v>
      </c>
      <c r="AJ161" s="2">
        <f t="shared" si="25"/>
        <v>133.75384615384615</v>
      </c>
      <c r="AK161" s="2">
        <f t="shared" si="26"/>
        <v>141.03333333333333</v>
      </c>
      <c r="AL161" s="2">
        <f t="shared" si="27"/>
        <v>133.30000000000001</v>
      </c>
      <c r="AM161" s="2">
        <f t="shared" si="28"/>
        <v>134.80000000000001</v>
      </c>
      <c r="AN161" s="2">
        <f t="shared" si="29"/>
        <v>130.77142857142857</v>
      </c>
    </row>
    <row r="162" spans="1:40" x14ac:dyDescent="0.3">
      <c r="A162" t="s">
        <v>32</v>
      </c>
      <c r="B162">
        <v>2017</v>
      </c>
      <c r="C162" t="s">
        <v>38</v>
      </c>
      <c r="D162" s="2">
        <v>132.9</v>
      </c>
      <c r="E162" s="2">
        <v>148.69999999999999</v>
      </c>
      <c r="F162" s="2">
        <v>128.30000000000001</v>
      </c>
      <c r="G162" s="2">
        <v>137.30000000000001</v>
      </c>
      <c r="H162" s="2">
        <v>113.5</v>
      </c>
      <c r="I162" s="2">
        <v>137.19999999999999</v>
      </c>
      <c r="J162" s="2">
        <v>142.19999999999999</v>
      </c>
      <c r="K162" s="2">
        <v>128.19999999999999</v>
      </c>
      <c r="L162" s="2">
        <v>120.9</v>
      </c>
      <c r="M162" s="2">
        <v>138.80000000000001</v>
      </c>
      <c r="N162" s="2">
        <v>124.2</v>
      </c>
      <c r="O162" s="2">
        <v>143.1</v>
      </c>
      <c r="P162" s="2">
        <v>135.69999999999999</v>
      </c>
      <c r="Q162" s="2">
        <v>148.6</v>
      </c>
      <c r="R162" s="2">
        <v>131.5</v>
      </c>
      <c r="S162" s="2">
        <v>123.2</v>
      </c>
      <c r="T162" s="2">
        <v>130.19999999999999</v>
      </c>
      <c r="U162" s="2">
        <v>131.4</v>
      </c>
      <c r="V162" s="2">
        <v>119</v>
      </c>
      <c r="W162" s="2">
        <v>126.8</v>
      </c>
      <c r="X162" s="2">
        <v>123.8</v>
      </c>
      <c r="Y162" s="2">
        <v>113.9</v>
      </c>
      <c r="Z162" s="2">
        <v>122.9</v>
      </c>
      <c r="AA162" s="2">
        <v>134.30000000000001</v>
      </c>
      <c r="AB162" s="2">
        <v>122.5</v>
      </c>
      <c r="AC162" s="2">
        <v>122.7</v>
      </c>
      <c r="AD162" s="2">
        <v>129.9</v>
      </c>
      <c r="AE162" s="2">
        <f t="shared" si="20"/>
        <v>1731.0000000000002</v>
      </c>
      <c r="AF162" s="2">
        <f t="shared" si="21"/>
        <v>384.9</v>
      </c>
      <c r="AG162" s="2">
        <f t="shared" si="22"/>
        <v>258.2</v>
      </c>
      <c r="AH162" s="2">
        <f t="shared" si="23"/>
        <v>119</v>
      </c>
      <c r="AI162" s="2">
        <f t="shared" si="24"/>
        <v>888.70000000000016</v>
      </c>
      <c r="AJ162" s="2">
        <f t="shared" si="25"/>
        <v>133.15384615384616</v>
      </c>
      <c r="AK162" s="2">
        <f t="shared" si="26"/>
        <v>128.29999999999998</v>
      </c>
      <c r="AL162" s="2">
        <f t="shared" si="27"/>
        <v>129.1</v>
      </c>
      <c r="AM162" s="2">
        <f t="shared" si="28"/>
        <v>119</v>
      </c>
      <c r="AN162" s="2">
        <f t="shared" si="29"/>
        <v>126.95714285714288</v>
      </c>
    </row>
    <row r="163" spans="1:40" x14ac:dyDescent="0.3">
      <c r="A163" t="s">
        <v>33</v>
      </c>
      <c r="B163">
        <v>2017</v>
      </c>
      <c r="C163" t="s">
        <v>38</v>
      </c>
      <c r="D163" s="2">
        <v>133.30000000000001</v>
      </c>
      <c r="E163" s="2">
        <v>145.5</v>
      </c>
      <c r="F163" s="2">
        <v>128.1</v>
      </c>
      <c r="G163" s="2">
        <v>138.1</v>
      </c>
      <c r="H163" s="2">
        <v>118.2</v>
      </c>
      <c r="I163" s="2">
        <v>139.19999999999999</v>
      </c>
      <c r="J163" s="2">
        <v>133.30000000000001</v>
      </c>
      <c r="K163" s="2">
        <v>136.19999999999999</v>
      </c>
      <c r="L163" s="2">
        <v>119.6</v>
      </c>
      <c r="M163" s="2">
        <v>135.30000000000001</v>
      </c>
      <c r="N163" s="2">
        <v>127.8</v>
      </c>
      <c r="O163" s="2">
        <v>144.9</v>
      </c>
      <c r="P163" s="2">
        <v>135.19999999999999</v>
      </c>
      <c r="Q163" s="2">
        <v>146.5</v>
      </c>
      <c r="R163" s="2">
        <v>138.5</v>
      </c>
      <c r="S163" s="2">
        <v>131.69999999999999</v>
      </c>
      <c r="T163" s="2">
        <v>137.5</v>
      </c>
      <c r="U163" s="2">
        <v>131.4</v>
      </c>
      <c r="V163" s="2">
        <v>128.80000000000001</v>
      </c>
      <c r="W163" s="2">
        <v>131.19999999999999</v>
      </c>
      <c r="X163" s="2">
        <v>128.5</v>
      </c>
      <c r="Y163" s="2">
        <v>116.5</v>
      </c>
      <c r="Z163" s="2">
        <v>125.9</v>
      </c>
      <c r="AA163" s="2">
        <v>135.4</v>
      </c>
      <c r="AB163" s="2">
        <v>123.4</v>
      </c>
      <c r="AC163" s="2">
        <v>125.5</v>
      </c>
      <c r="AD163" s="2">
        <v>132</v>
      </c>
      <c r="AE163" s="2">
        <f t="shared" si="20"/>
        <v>1734.7</v>
      </c>
      <c r="AF163" s="2">
        <f t="shared" si="21"/>
        <v>407.7</v>
      </c>
      <c r="AG163" s="2">
        <f t="shared" si="22"/>
        <v>262.60000000000002</v>
      </c>
      <c r="AH163" s="2">
        <f t="shared" si="23"/>
        <v>128.80000000000001</v>
      </c>
      <c r="AI163" s="2">
        <f t="shared" si="24"/>
        <v>901.69999999999993</v>
      </c>
      <c r="AJ163" s="2">
        <f t="shared" si="25"/>
        <v>133.43846153846155</v>
      </c>
      <c r="AK163" s="2">
        <f t="shared" si="26"/>
        <v>135.9</v>
      </c>
      <c r="AL163" s="2">
        <f t="shared" si="27"/>
        <v>131.30000000000001</v>
      </c>
      <c r="AM163" s="2">
        <f t="shared" si="28"/>
        <v>128.80000000000001</v>
      </c>
      <c r="AN163" s="2">
        <f t="shared" si="29"/>
        <v>128.81428571428572</v>
      </c>
    </row>
    <row r="164" spans="1:40" x14ac:dyDescent="0.3">
      <c r="A164" t="s">
        <v>30</v>
      </c>
      <c r="B164">
        <v>2017</v>
      </c>
      <c r="C164" t="s">
        <v>39</v>
      </c>
      <c r="D164" s="2">
        <v>134</v>
      </c>
      <c r="E164" s="2">
        <v>144.19999999999999</v>
      </c>
      <c r="F164" s="2">
        <v>129.80000000000001</v>
      </c>
      <c r="G164" s="2">
        <v>139</v>
      </c>
      <c r="H164" s="2">
        <v>120.9</v>
      </c>
      <c r="I164" s="2">
        <v>143.9</v>
      </c>
      <c r="J164" s="2">
        <v>151.5</v>
      </c>
      <c r="K164" s="2">
        <v>138.1</v>
      </c>
      <c r="L164" s="2">
        <v>120</v>
      </c>
      <c r="M164" s="2">
        <v>133.9</v>
      </c>
      <c r="N164" s="2">
        <v>131.4</v>
      </c>
      <c r="O164" s="2">
        <v>147.69999999999999</v>
      </c>
      <c r="P164" s="2">
        <v>138.5</v>
      </c>
      <c r="Q164" s="2">
        <v>147.4</v>
      </c>
      <c r="R164" s="2">
        <v>144.30000000000001</v>
      </c>
      <c r="S164" s="2">
        <v>138.1</v>
      </c>
      <c r="T164" s="2">
        <v>143.5</v>
      </c>
      <c r="U164" s="2">
        <f>AVERAGE(U165,U166)</f>
        <v>132.6</v>
      </c>
      <c r="V164" s="2">
        <v>135.30000000000001</v>
      </c>
      <c r="W164" s="2">
        <v>136.1</v>
      </c>
      <c r="X164" s="2">
        <v>132.1</v>
      </c>
      <c r="Y164" s="2">
        <v>119.1</v>
      </c>
      <c r="Z164" s="2">
        <v>130.6</v>
      </c>
      <c r="AA164" s="2">
        <v>138.6</v>
      </c>
      <c r="AB164" s="2">
        <v>124.4</v>
      </c>
      <c r="AC164" s="2">
        <v>128.6</v>
      </c>
      <c r="AD164" s="2">
        <v>136.19999999999999</v>
      </c>
      <c r="AE164" s="2">
        <f t="shared" si="20"/>
        <v>1772.9</v>
      </c>
      <c r="AF164" s="2">
        <f t="shared" si="21"/>
        <v>425.9</v>
      </c>
      <c r="AG164" s="2">
        <f t="shared" si="22"/>
        <v>268.7</v>
      </c>
      <c r="AH164" s="2">
        <f t="shared" si="23"/>
        <v>135.30000000000001</v>
      </c>
      <c r="AI164" s="2">
        <f t="shared" si="24"/>
        <v>920.8</v>
      </c>
      <c r="AJ164" s="2">
        <f t="shared" si="25"/>
        <v>136.37692307692308</v>
      </c>
      <c r="AK164" s="2">
        <f t="shared" si="26"/>
        <v>141.96666666666667</v>
      </c>
      <c r="AL164" s="2">
        <f t="shared" si="27"/>
        <v>134.35</v>
      </c>
      <c r="AM164" s="2">
        <f t="shared" si="28"/>
        <v>135.30000000000001</v>
      </c>
      <c r="AN164" s="2">
        <f t="shared" si="29"/>
        <v>131.54285714285714</v>
      </c>
    </row>
    <row r="165" spans="1:40" x14ac:dyDescent="0.3">
      <c r="A165" t="s">
        <v>32</v>
      </c>
      <c r="B165">
        <v>2017</v>
      </c>
      <c r="C165" t="s">
        <v>39</v>
      </c>
      <c r="D165" s="2">
        <v>132.80000000000001</v>
      </c>
      <c r="E165" s="2">
        <v>148.4</v>
      </c>
      <c r="F165" s="2">
        <v>129.4</v>
      </c>
      <c r="G165" s="2">
        <v>137.69999999999999</v>
      </c>
      <c r="H165" s="2">
        <v>113.4</v>
      </c>
      <c r="I165" s="2">
        <v>139.4</v>
      </c>
      <c r="J165" s="2">
        <v>175.1</v>
      </c>
      <c r="K165" s="2">
        <v>124.7</v>
      </c>
      <c r="L165" s="2">
        <v>121.5</v>
      </c>
      <c r="M165" s="2">
        <v>137.80000000000001</v>
      </c>
      <c r="N165" s="2">
        <v>124.4</v>
      </c>
      <c r="O165" s="2">
        <v>143.69999999999999</v>
      </c>
      <c r="P165" s="2">
        <v>139.80000000000001</v>
      </c>
      <c r="Q165" s="2">
        <v>150.5</v>
      </c>
      <c r="R165" s="2">
        <v>131.6</v>
      </c>
      <c r="S165" s="2">
        <v>123.7</v>
      </c>
      <c r="T165" s="2">
        <v>130.4</v>
      </c>
      <c r="U165" s="2">
        <v>132.6</v>
      </c>
      <c r="V165" s="2">
        <v>119.7</v>
      </c>
      <c r="W165" s="2">
        <v>127.2</v>
      </c>
      <c r="X165" s="2">
        <v>125</v>
      </c>
      <c r="Y165" s="2">
        <v>113.2</v>
      </c>
      <c r="Z165" s="2">
        <v>123.5</v>
      </c>
      <c r="AA165" s="2">
        <v>135.5</v>
      </c>
      <c r="AB165" s="2">
        <v>122.4</v>
      </c>
      <c r="AC165" s="2">
        <v>123</v>
      </c>
      <c r="AD165" s="2">
        <v>131.80000000000001</v>
      </c>
      <c r="AE165" s="2">
        <f t="shared" si="20"/>
        <v>1768.1</v>
      </c>
      <c r="AF165" s="2">
        <f t="shared" si="21"/>
        <v>385.70000000000005</v>
      </c>
      <c r="AG165" s="2">
        <f t="shared" si="22"/>
        <v>259.8</v>
      </c>
      <c r="AH165" s="2">
        <f t="shared" si="23"/>
        <v>119.7</v>
      </c>
      <c r="AI165" s="2">
        <f t="shared" si="24"/>
        <v>893.1</v>
      </c>
      <c r="AJ165" s="2">
        <f t="shared" si="25"/>
        <v>136.00769230769231</v>
      </c>
      <c r="AK165" s="2">
        <f t="shared" si="26"/>
        <v>128.56666666666669</v>
      </c>
      <c r="AL165" s="2">
        <f t="shared" si="27"/>
        <v>129.9</v>
      </c>
      <c r="AM165" s="2">
        <f t="shared" si="28"/>
        <v>119.7</v>
      </c>
      <c r="AN165" s="2">
        <f t="shared" si="29"/>
        <v>127.58571428571429</v>
      </c>
    </row>
    <row r="166" spans="1:40" x14ac:dyDescent="0.3">
      <c r="A166" t="s">
        <v>33</v>
      </c>
      <c r="B166">
        <v>2017</v>
      </c>
      <c r="C166" t="s">
        <v>39</v>
      </c>
      <c r="D166" s="2">
        <v>133.6</v>
      </c>
      <c r="E166" s="2">
        <v>145.69999999999999</v>
      </c>
      <c r="F166" s="2">
        <v>129.6</v>
      </c>
      <c r="G166" s="2">
        <v>138.5</v>
      </c>
      <c r="H166" s="2">
        <v>118.1</v>
      </c>
      <c r="I166" s="2">
        <v>141.80000000000001</v>
      </c>
      <c r="J166" s="2">
        <v>159.5</v>
      </c>
      <c r="K166" s="2">
        <v>133.6</v>
      </c>
      <c r="L166" s="2">
        <v>120.5</v>
      </c>
      <c r="M166" s="2">
        <v>135.19999999999999</v>
      </c>
      <c r="N166" s="2">
        <v>128.5</v>
      </c>
      <c r="O166" s="2">
        <v>145.80000000000001</v>
      </c>
      <c r="P166" s="2">
        <v>139</v>
      </c>
      <c r="Q166" s="2">
        <v>148.19999999999999</v>
      </c>
      <c r="R166" s="2">
        <v>139.30000000000001</v>
      </c>
      <c r="S166" s="2">
        <v>132.1</v>
      </c>
      <c r="T166" s="2">
        <v>138.30000000000001</v>
      </c>
      <c r="U166" s="2">
        <v>132.6</v>
      </c>
      <c r="V166" s="2">
        <v>129.4</v>
      </c>
      <c r="W166" s="2">
        <v>131.9</v>
      </c>
      <c r="X166" s="2">
        <v>129.4</v>
      </c>
      <c r="Y166" s="2">
        <v>116</v>
      </c>
      <c r="Z166" s="2">
        <v>126.6</v>
      </c>
      <c r="AA166" s="2">
        <v>136.80000000000001</v>
      </c>
      <c r="AB166" s="2">
        <v>123.6</v>
      </c>
      <c r="AC166" s="2">
        <v>125.9</v>
      </c>
      <c r="AD166" s="2">
        <v>134.19999999999999</v>
      </c>
      <c r="AE166" s="2">
        <f t="shared" si="20"/>
        <v>1769.3999999999999</v>
      </c>
      <c r="AF166" s="2">
        <f t="shared" si="21"/>
        <v>409.7</v>
      </c>
      <c r="AG166" s="2">
        <f t="shared" si="22"/>
        <v>264.5</v>
      </c>
      <c r="AH166" s="2">
        <f t="shared" si="23"/>
        <v>129.4</v>
      </c>
      <c r="AI166" s="2">
        <f t="shared" si="24"/>
        <v>906.5</v>
      </c>
      <c r="AJ166" s="2">
        <f t="shared" si="25"/>
        <v>136.1076923076923</v>
      </c>
      <c r="AK166" s="2">
        <f t="shared" si="26"/>
        <v>136.56666666666666</v>
      </c>
      <c r="AL166" s="2">
        <f t="shared" si="27"/>
        <v>132.25</v>
      </c>
      <c r="AM166" s="2">
        <f t="shared" si="28"/>
        <v>129.4</v>
      </c>
      <c r="AN166" s="2">
        <f t="shared" si="29"/>
        <v>129.5</v>
      </c>
    </row>
    <row r="167" spans="1:40" x14ac:dyDescent="0.3">
      <c r="A167" t="s">
        <v>30</v>
      </c>
      <c r="B167">
        <v>2017</v>
      </c>
      <c r="C167" t="s">
        <v>40</v>
      </c>
      <c r="D167" s="2">
        <v>134.80000000000001</v>
      </c>
      <c r="E167" s="2">
        <v>143.1</v>
      </c>
      <c r="F167" s="2">
        <v>130</v>
      </c>
      <c r="G167" s="2">
        <v>139.4</v>
      </c>
      <c r="H167" s="2">
        <v>120.5</v>
      </c>
      <c r="I167" s="2">
        <v>148</v>
      </c>
      <c r="J167" s="2">
        <v>162.9</v>
      </c>
      <c r="K167" s="2">
        <v>137.4</v>
      </c>
      <c r="L167" s="2">
        <v>120.8</v>
      </c>
      <c r="M167" s="2">
        <v>134.69999999999999</v>
      </c>
      <c r="N167" s="2">
        <v>131.6</v>
      </c>
      <c r="O167" s="2">
        <v>148.69999999999999</v>
      </c>
      <c r="P167" s="2">
        <v>140.6</v>
      </c>
      <c r="Q167" s="2">
        <v>149</v>
      </c>
      <c r="R167" s="2">
        <v>145.30000000000001</v>
      </c>
      <c r="S167" s="2">
        <v>139.19999999999999</v>
      </c>
      <c r="T167" s="2">
        <v>144.5</v>
      </c>
      <c r="U167" s="2">
        <f>AVERAGE(U168,U169)</f>
        <v>134.4</v>
      </c>
      <c r="V167" s="2">
        <v>136.4</v>
      </c>
      <c r="W167" s="2">
        <v>137.30000000000001</v>
      </c>
      <c r="X167" s="2">
        <v>133</v>
      </c>
      <c r="Y167" s="2">
        <v>120.3</v>
      </c>
      <c r="Z167" s="2">
        <v>131.5</v>
      </c>
      <c r="AA167" s="2">
        <v>140.19999999999999</v>
      </c>
      <c r="AB167" s="2">
        <v>125.4</v>
      </c>
      <c r="AC167" s="2">
        <v>129.69999999999999</v>
      </c>
      <c r="AD167" s="2">
        <v>137.80000000000001</v>
      </c>
      <c r="AE167" s="2">
        <f t="shared" si="20"/>
        <v>1792.4999999999998</v>
      </c>
      <c r="AF167" s="2">
        <f t="shared" si="21"/>
        <v>429</v>
      </c>
      <c r="AG167" s="2">
        <f t="shared" si="22"/>
        <v>271.70000000000005</v>
      </c>
      <c r="AH167" s="2">
        <f t="shared" si="23"/>
        <v>136.4</v>
      </c>
      <c r="AI167" s="2">
        <f t="shared" si="24"/>
        <v>929.09999999999991</v>
      </c>
      <c r="AJ167" s="2">
        <f t="shared" si="25"/>
        <v>137.88461538461536</v>
      </c>
      <c r="AK167" s="2">
        <f t="shared" si="26"/>
        <v>143</v>
      </c>
      <c r="AL167" s="2">
        <f t="shared" si="27"/>
        <v>135.85000000000002</v>
      </c>
      <c r="AM167" s="2">
        <f t="shared" si="28"/>
        <v>136.4</v>
      </c>
      <c r="AN167" s="2">
        <f t="shared" si="29"/>
        <v>132.72857142857143</v>
      </c>
    </row>
    <row r="168" spans="1:40" x14ac:dyDescent="0.3">
      <c r="A168" t="s">
        <v>32</v>
      </c>
      <c r="B168">
        <v>2017</v>
      </c>
      <c r="C168" t="s">
        <v>40</v>
      </c>
      <c r="D168" s="2">
        <v>133.19999999999999</v>
      </c>
      <c r="E168" s="2">
        <v>143.9</v>
      </c>
      <c r="F168" s="2">
        <v>128.30000000000001</v>
      </c>
      <c r="G168" s="2">
        <v>138.30000000000001</v>
      </c>
      <c r="H168" s="2">
        <v>114.1</v>
      </c>
      <c r="I168" s="2">
        <v>142.69999999999999</v>
      </c>
      <c r="J168" s="2">
        <v>179.8</v>
      </c>
      <c r="K168" s="2">
        <v>123.5</v>
      </c>
      <c r="L168" s="2">
        <v>122.1</v>
      </c>
      <c r="M168" s="2">
        <v>137.5</v>
      </c>
      <c r="N168" s="2">
        <v>124.6</v>
      </c>
      <c r="O168" s="2">
        <v>144.5</v>
      </c>
      <c r="P168" s="2">
        <v>140.5</v>
      </c>
      <c r="Q168" s="2">
        <v>152.1</v>
      </c>
      <c r="R168" s="2">
        <v>132.69999999999999</v>
      </c>
      <c r="S168" s="2">
        <v>124.3</v>
      </c>
      <c r="T168" s="2">
        <v>131.4</v>
      </c>
      <c r="U168" s="2">
        <v>134.4</v>
      </c>
      <c r="V168" s="2">
        <v>118.9</v>
      </c>
      <c r="W168" s="2">
        <v>127.7</v>
      </c>
      <c r="X168" s="2">
        <v>125.7</v>
      </c>
      <c r="Y168" s="2">
        <v>114.6</v>
      </c>
      <c r="Z168" s="2">
        <v>124.1</v>
      </c>
      <c r="AA168" s="2">
        <v>135.69999999999999</v>
      </c>
      <c r="AB168" s="2">
        <v>123.3</v>
      </c>
      <c r="AC168" s="2">
        <v>123.8</v>
      </c>
      <c r="AD168" s="2">
        <v>132.69999999999999</v>
      </c>
      <c r="AE168" s="2">
        <f t="shared" si="20"/>
        <v>1772.9999999999998</v>
      </c>
      <c r="AF168" s="2">
        <f t="shared" si="21"/>
        <v>388.4</v>
      </c>
      <c r="AG168" s="2">
        <f t="shared" si="22"/>
        <v>262.10000000000002</v>
      </c>
      <c r="AH168" s="2">
        <f t="shared" si="23"/>
        <v>118.9</v>
      </c>
      <c r="AI168" s="2">
        <f t="shared" si="24"/>
        <v>899.3</v>
      </c>
      <c r="AJ168" s="2">
        <f t="shared" si="25"/>
        <v>136.38461538461536</v>
      </c>
      <c r="AK168" s="2">
        <f t="shared" si="26"/>
        <v>129.46666666666667</v>
      </c>
      <c r="AL168" s="2">
        <f t="shared" si="27"/>
        <v>131.05000000000001</v>
      </c>
      <c r="AM168" s="2">
        <f t="shared" si="28"/>
        <v>118.9</v>
      </c>
      <c r="AN168" s="2">
        <f t="shared" si="29"/>
        <v>128.47142857142856</v>
      </c>
    </row>
    <row r="169" spans="1:40" x14ac:dyDescent="0.3">
      <c r="A169" t="s">
        <v>33</v>
      </c>
      <c r="B169">
        <v>2017</v>
      </c>
      <c r="C169" t="s">
        <v>40</v>
      </c>
      <c r="D169" s="2">
        <v>134.30000000000001</v>
      </c>
      <c r="E169" s="2">
        <v>143.4</v>
      </c>
      <c r="F169" s="2">
        <v>129.30000000000001</v>
      </c>
      <c r="G169" s="2">
        <v>139</v>
      </c>
      <c r="H169" s="2">
        <v>118.1</v>
      </c>
      <c r="I169" s="2">
        <v>145.5</v>
      </c>
      <c r="J169" s="2">
        <v>168.6</v>
      </c>
      <c r="K169" s="2">
        <v>132.69999999999999</v>
      </c>
      <c r="L169" s="2">
        <v>121.2</v>
      </c>
      <c r="M169" s="2">
        <v>135.6</v>
      </c>
      <c r="N169" s="2">
        <v>128.69999999999999</v>
      </c>
      <c r="O169" s="2">
        <v>146.80000000000001</v>
      </c>
      <c r="P169" s="2">
        <v>140.6</v>
      </c>
      <c r="Q169" s="2">
        <v>149.80000000000001</v>
      </c>
      <c r="R169" s="2">
        <v>140.30000000000001</v>
      </c>
      <c r="S169" s="2">
        <v>133</v>
      </c>
      <c r="T169" s="2">
        <v>139.30000000000001</v>
      </c>
      <c r="U169" s="2">
        <v>134.4</v>
      </c>
      <c r="V169" s="2">
        <v>129.80000000000001</v>
      </c>
      <c r="W169" s="2">
        <v>132.80000000000001</v>
      </c>
      <c r="X169" s="2">
        <v>130.19999999999999</v>
      </c>
      <c r="Y169" s="2">
        <v>117.3</v>
      </c>
      <c r="Z169" s="2">
        <v>127.3</v>
      </c>
      <c r="AA169" s="2">
        <v>137.6</v>
      </c>
      <c r="AB169" s="2">
        <v>124.5</v>
      </c>
      <c r="AC169" s="2">
        <v>126.8</v>
      </c>
      <c r="AD169" s="2">
        <v>135.4</v>
      </c>
      <c r="AE169" s="2">
        <f t="shared" si="20"/>
        <v>1783.8</v>
      </c>
      <c r="AF169" s="2">
        <f t="shared" si="21"/>
        <v>412.6</v>
      </c>
      <c r="AG169" s="2">
        <f t="shared" si="22"/>
        <v>267.20000000000005</v>
      </c>
      <c r="AH169" s="2">
        <f t="shared" si="23"/>
        <v>129.80000000000001</v>
      </c>
      <c r="AI169" s="2">
        <f t="shared" si="24"/>
        <v>913.5</v>
      </c>
      <c r="AJ169" s="2">
        <f t="shared" si="25"/>
        <v>137.21538461538461</v>
      </c>
      <c r="AK169" s="2">
        <f t="shared" si="26"/>
        <v>137.53333333333333</v>
      </c>
      <c r="AL169" s="2">
        <f t="shared" si="27"/>
        <v>133.60000000000002</v>
      </c>
      <c r="AM169" s="2">
        <f t="shared" si="28"/>
        <v>129.80000000000001</v>
      </c>
      <c r="AN169" s="2">
        <f t="shared" si="29"/>
        <v>130.5</v>
      </c>
    </row>
    <row r="170" spans="1:40" x14ac:dyDescent="0.3">
      <c r="A170" t="s">
        <v>30</v>
      </c>
      <c r="B170">
        <v>2017</v>
      </c>
      <c r="C170" t="s">
        <v>41</v>
      </c>
      <c r="D170" s="2">
        <v>135.19999999999999</v>
      </c>
      <c r="E170" s="2">
        <v>142</v>
      </c>
      <c r="F170" s="2">
        <v>130.5</v>
      </c>
      <c r="G170" s="2">
        <v>140.19999999999999</v>
      </c>
      <c r="H170" s="2">
        <v>120.7</v>
      </c>
      <c r="I170" s="2">
        <v>147.80000000000001</v>
      </c>
      <c r="J170" s="2">
        <v>154.5</v>
      </c>
      <c r="K170" s="2">
        <v>137.1</v>
      </c>
      <c r="L170" s="2">
        <v>121</v>
      </c>
      <c r="M170" s="2">
        <v>134.69999999999999</v>
      </c>
      <c r="N170" s="2">
        <v>131.69999999999999</v>
      </c>
      <c r="O170" s="2">
        <v>149.30000000000001</v>
      </c>
      <c r="P170" s="2">
        <v>139.6</v>
      </c>
      <c r="Q170" s="2">
        <v>149.80000000000001</v>
      </c>
      <c r="R170" s="2">
        <v>146.1</v>
      </c>
      <c r="S170" s="2">
        <v>139.69999999999999</v>
      </c>
      <c r="T170" s="2">
        <v>145.19999999999999</v>
      </c>
      <c r="U170" s="2">
        <f>AVERAGE(U171,U172)</f>
        <v>135.69999999999999</v>
      </c>
      <c r="V170" s="2">
        <v>137.4</v>
      </c>
      <c r="W170" s="2">
        <v>137.9</v>
      </c>
      <c r="X170" s="2">
        <v>133.4</v>
      </c>
      <c r="Y170" s="2">
        <v>121.2</v>
      </c>
      <c r="Z170" s="2">
        <v>132.30000000000001</v>
      </c>
      <c r="AA170" s="2">
        <v>139.6</v>
      </c>
      <c r="AB170" s="2">
        <v>126.7</v>
      </c>
      <c r="AC170" s="2">
        <v>130.30000000000001</v>
      </c>
      <c r="AD170" s="2">
        <v>137.6</v>
      </c>
      <c r="AE170" s="2">
        <f t="shared" si="20"/>
        <v>1784.3</v>
      </c>
      <c r="AF170" s="2">
        <f t="shared" si="21"/>
        <v>430.99999999999994</v>
      </c>
      <c r="AG170" s="2">
        <f t="shared" si="22"/>
        <v>273.60000000000002</v>
      </c>
      <c r="AH170" s="2">
        <f t="shared" si="23"/>
        <v>137.4</v>
      </c>
      <c r="AI170" s="2">
        <f t="shared" si="24"/>
        <v>933.3</v>
      </c>
      <c r="AJ170" s="2">
        <f t="shared" si="25"/>
        <v>137.25384615384615</v>
      </c>
      <c r="AK170" s="2">
        <f t="shared" si="26"/>
        <v>143.66666666666666</v>
      </c>
      <c r="AL170" s="2">
        <f t="shared" si="27"/>
        <v>136.80000000000001</v>
      </c>
      <c r="AM170" s="2">
        <f t="shared" si="28"/>
        <v>137.4</v>
      </c>
      <c r="AN170" s="2">
        <f t="shared" si="29"/>
        <v>133.32857142857142</v>
      </c>
    </row>
    <row r="171" spans="1:40" x14ac:dyDescent="0.3">
      <c r="A171" t="s">
        <v>32</v>
      </c>
      <c r="B171">
        <v>2017</v>
      </c>
      <c r="C171" t="s">
        <v>41</v>
      </c>
      <c r="D171" s="2">
        <v>133.6</v>
      </c>
      <c r="E171" s="2">
        <v>143</v>
      </c>
      <c r="F171" s="2">
        <v>129.69999999999999</v>
      </c>
      <c r="G171" s="2">
        <v>138.69999999999999</v>
      </c>
      <c r="H171" s="2">
        <v>114.5</v>
      </c>
      <c r="I171" s="2">
        <v>137.5</v>
      </c>
      <c r="J171" s="2">
        <v>160.69999999999999</v>
      </c>
      <c r="K171" s="2">
        <v>124.5</v>
      </c>
      <c r="L171" s="2">
        <v>122.4</v>
      </c>
      <c r="M171" s="2">
        <v>137.30000000000001</v>
      </c>
      <c r="N171" s="2">
        <v>124.8</v>
      </c>
      <c r="O171" s="2">
        <v>145</v>
      </c>
      <c r="P171" s="2">
        <v>138</v>
      </c>
      <c r="Q171" s="2">
        <v>153.6</v>
      </c>
      <c r="R171" s="2">
        <v>133.30000000000001</v>
      </c>
      <c r="S171" s="2">
        <v>124.6</v>
      </c>
      <c r="T171" s="2">
        <v>132</v>
      </c>
      <c r="U171" s="2">
        <v>135.69999999999999</v>
      </c>
      <c r="V171" s="2">
        <v>120.6</v>
      </c>
      <c r="W171" s="2">
        <v>128.1</v>
      </c>
      <c r="X171" s="2">
        <v>126.1</v>
      </c>
      <c r="Y171" s="2">
        <v>115.7</v>
      </c>
      <c r="Z171" s="2">
        <v>124.5</v>
      </c>
      <c r="AA171" s="2">
        <v>135.9</v>
      </c>
      <c r="AB171" s="2">
        <v>124.4</v>
      </c>
      <c r="AC171" s="2">
        <v>124.5</v>
      </c>
      <c r="AD171" s="2">
        <v>132.4</v>
      </c>
      <c r="AE171" s="2">
        <f t="shared" si="20"/>
        <v>1749.7</v>
      </c>
      <c r="AF171" s="2">
        <f t="shared" si="21"/>
        <v>389.9</v>
      </c>
      <c r="AG171" s="2">
        <f t="shared" si="22"/>
        <v>263.79999999999995</v>
      </c>
      <c r="AH171" s="2">
        <f t="shared" si="23"/>
        <v>120.6</v>
      </c>
      <c r="AI171" s="2">
        <f t="shared" si="24"/>
        <v>904.7</v>
      </c>
      <c r="AJ171" s="2">
        <f t="shared" si="25"/>
        <v>134.59230769230768</v>
      </c>
      <c r="AK171" s="2">
        <f t="shared" si="26"/>
        <v>129.96666666666667</v>
      </c>
      <c r="AL171" s="2">
        <f t="shared" si="27"/>
        <v>131.89999999999998</v>
      </c>
      <c r="AM171" s="2">
        <f t="shared" si="28"/>
        <v>120.6</v>
      </c>
      <c r="AN171" s="2">
        <f t="shared" si="29"/>
        <v>129.24285714285716</v>
      </c>
    </row>
    <row r="172" spans="1:40" x14ac:dyDescent="0.3">
      <c r="A172" t="s">
        <v>33</v>
      </c>
      <c r="B172">
        <v>2017</v>
      </c>
      <c r="C172" t="s">
        <v>41</v>
      </c>
      <c r="D172" s="2">
        <v>134.69999999999999</v>
      </c>
      <c r="E172" s="2">
        <v>142.4</v>
      </c>
      <c r="F172" s="2">
        <v>130.19999999999999</v>
      </c>
      <c r="G172" s="2">
        <v>139.6</v>
      </c>
      <c r="H172" s="2">
        <v>118.4</v>
      </c>
      <c r="I172" s="2">
        <v>143</v>
      </c>
      <c r="J172" s="2">
        <v>156.6</v>
      </c>
      <c r="K172" s="2">
        <v>132.9</v>
      </c>
      <c r="L172" s="2">
        <v>121.5</v>
      </c>
      <c r="M172" s="2">
        <v>135.6</v>
      </c>
      <c r="N172" s="2">
        <v>128.80000000000001</v>
      </c>
      <c r="O172" s="2">
        <v>147.30000000000001</v>
      </c>
      <c r="P172" s="2">
        <v>139</v>
      </c>
      <c r="Q172" s="2">
        <v>150.80000000000001</v>
      </c>
      <c r="R172" s="2">
        <v>141.1</v>
      </c>
      <c r="S172" s="2">
        <v>133.4</v>
      </c>
      <c r="T172" s="2">
        <v>140</v>
      </c>
      <c r="U172" s="2">
        <v>135.69999999999999</v>
      </c>
      <c r="V172" s="2">
        <v>131</v>
      </c>
      <c r="W172" s="2">
        <v>133.30000000000001</v>
      </c>
      <c r="X172" s="2">
        <v>130.6</v>
      </c>
      <c r="Y172" s="2">
        <v>118.3</v>
      </c>
      <c r="Z172" s="2">
        <v>127.9</v>
      </c>
      <c r="AA172" s="2">
        <v>137.4</v>
      </c>
      <c r="AB172" s="2">
        <v>125.7</v>
      </c>
      <c r="AC172" s="2">
        <v>127.5</v>
      </c>
      <c r="AD172" s="2">
        <v>135.19999999999999</v>
      </c>
      <c r="AE172" s="2">
        <f t="shared" si="20"/>
        <v>1769.9999999999998</v>
      </c>
      <c r="AF172" s="2">
        <f t="shared" si="21"/>
        <v>414.5</v>
      </c>
      <c r="AG172" s="2">
        <f t="shared" si="22"/>
        <v>269</v>
      </c>
      <c r="AH172" s="2">
        <f t="shared" si="23"/>
        <v>131</v>
      </c>
      <c r="AI172" s="2">
        <f t="shared" si="24"/>
        <v>918.2</v>
      </c>
      <c r="AJ172" s="2">
        <f t="shared" si="25"/>
        <v>136.15384615384613</v>
      </c>
      <c r="AK172" s="2">
        <f t="shared" si="26"/>
        <v>138.16666666666666</v>
      </c>
      <c r="AL172" s="2">
        <f t="shared" si="27"/>
        <v>134.5</v>
      </c>
      <c r="AM172" s="2">
        <f t="shared" si="28"/>
        <v>131</v>
      </c>
      <c r="AN172" s="2">
        <f t="shared" si="29"/>
        <v>131.17142857142858</v>
      </c>
    </row>
    <row r="173" spans="1:40" x14ac:dyDescent="0.3">
      <c r="A173" t="s">
        <v>30</v>
      </c>
      <c r="B173">
        <v>2017</v>
      </c>
      <c r="C173" t="s">
        <v>42</v>
      </c>
      <c r="D173" s="2">
        <v>135.9</v>
      </c>
      <c r="E173" s="2">
        <v>141.9</v>
      </c>
      <c r="F173" s="2">
        <v>131</v>
      </c>
      <c r="G173" s="2">
        <v>141.5</v>
      </c>
      <c r="H173" s="2">
        <v>121.4</v>
      </c>
      <c r="I173" s="2">
        <v>146.69999999999999</v>
      </c>
      <c r="J173" s="2">
        <v>157.1</v>
      </c>
      <c r="K173" s="2">
        <v>136.4</v>
      </c>
      <c r="L173" s="2">
        <v>121.4</v>
      </c>
      <c r="M173" s="2">
        <v>135.6</v>
      </c>
      <c r="N173" s="2">
        <v>131.30000000000001</v>
      </c>
      <c r="O173" s="2">
        <v>150.30000000000001</v>
      </c>
      <c r="P173" s="2">
        <v>140.4</v>
      </c>
      <c r="Q173" s="2">
        <v>150.5</v>
      </c>
      <c r="R173" s="2">
        <v>147.19999999999999</v>
      </c>
      <c r="S173" s="2">
        <v>140.6</v>
      </c>
      <c r="T173" s="2">
        <v>146.19999999999999</v>
      </c>
      <c r="U173" s="2">
        <f>AVERAGE(U174,U175)</f>
        <v>137.30000000000001</v>
      </c>
      <c r="V173" s="2">
        <v>138.1</v>
      </c>
      <c r="W173" s="2">
        <v>138.4</v>
      </c>
      <c r="X173" s="2">
        <v>134.19999999999999</v>
      </c>
      <c r="Y173" s="2">
        <v>121</v>
      </c>
      <c r="Z173" s="2">
        <v>133</v>
      </c>
      <c r="AA173" s="2">
        <v>140.1</v>
      </c>
      <c r="AB173" s="2">
        <v>127.4</v>
      </c>
      <c r="AC173" s="2">
        <v>130.69999999999999</v>
      </c>
      <c r="AD173" s="2">
        <v>138.30000000000001</v>
      </c>
      <c r="AE173" s="2">
        <f t="shared" si="20"/>
        <v>1790.8999999999999</v>
      </c>
      <c r="AF173" s="2">
        <f t="shared" si="21"/>
        <v>433.99999999999994</v>
      </c>
      <c r="AG173" s="2">
        <f t="shared" si="22"/>
        <v>275.70000000000005</v>
      </c>
      <c r="AH173" s="2">
        <f t="shared" si="23"/>
        <v>138.1</v>
      </c>
      <c r="AI173" s="2">
        <f t="shared" si="24"/>
        <v>936.89999999999986</v>
      </c>
      <c r="AJ173" s="2">
        <f t="shared" si="25"/>
        <v>137.76153846153846</v>
      </c>
      <c r="AK173" s="2">
        <f t="shared" si="26"/>
        <v>144.66666666666666</v>
      </c>
      <c r="AL173" s="2">
        <f t="shared" si="27"/>
        <v>137.85000000000002</v>
      </c>
      <c r="AM173" s="2">
        <f t="shared" si="28"/>
        <v>138.1</v>
      </c>
      <c r="AN173" s="2">
        <f t="shared" si="29"/>
        <v>133.84285714285713</v>
      </c>
    </row>
    <row r="174" spans="1:40" x14ac:dyDescent="0.3">
      <c r="A174" t="s">
        <v>32</v>
      </c>
      <c r="B174">
        <v>2017</v>
      </c>
      <c r="C174" t="s">
        <v>42</v>
      </c>
      <c r="D174" s="2">
        <v>133.9</v>
      </c>
      <c r="E174" s="2">
        <v>142.80000000000001</v>
      </c>
      <c r="F174" s="2">
        <v>131.4</v>
      </c>
      <c r="G174" s="2">
        <v>139.1</v>
      </c>
      <c r="H174" s="2">
        <v>114.9</v>
      </c>
      <c r="I174" s="2">
        <v>135.6</v>
      </c>
      <c r="J174" s="2">
        <v>173.2</v>
      </c>
      <c r="K174" s="2">
        <v>124.1</v>
      </c>
      <c r="L174" s="2">
        <v>122.6</v>
      </c>
      <c r="M174" s="2">
        <v>137.80000000000001</v>
      </c>
      <c r="N174" s="2">
        <v>125.1</v>
      </c>
      <c r="O174" s="2">
        <v>145.5</v>
      </c>
      <c r="P174" s="2">
        <v>139.69999999999999</v>
      </c>
      <c r="Q174" s="2">
        <v>154.6</v>
      </c>
      <c r="R174" s="2">
        <v>134</v>
      </c>
      <c r="S174" s="2">
        <v>124.9</v>
      </c>
      <c r="T174" s="2">
        <v>132.6</v>
      </c>
      <c r="U174" s="2">
        <v>137.30000000000001</v>
      </c>
      <c r="V174" s="2">
        <v>122.6</v>
      </c>
      <c r="W174" s="2">
        <v>128.30000000000001</v>
      </c>
      <c r="X174" s="2">
        <v>126.6</v>
      </c>
      <c r="Y174" s="2">
        <v>115</v>
      </c>
      <c r="Z174" s="2">
        <v>124.8</v>
      </c>
      <c r="AA174" s="2">
        <v>136.30000000000001</v>
      </c>
      <c r="AB174" s="2">
        <v>124.6</v>
      </c>
      <c r="AC174" s="2">
        <v>124.5</v>
      </c>
      <c r="AD174" s="2">
        <v>133.5</v>
      </c>
      <c r="AE174" s="2">
        <f t="shared" si="20"/>
        <v>1765.6999999999998</v>
      </c>
      <c r="AF174" s="2">
        <f t="shared" si="21"/>
        <v>391.5</v>
      </c>
      <c r="AG174" s="2">
        <f t="shared" si="22"/>
        <v>265.60000000000002</v>
      </c>
      <c r="AH174" s="2">
        <f t="shared" si="23"/>
        <v>122.6</v>
      </c>
      <c r="AI174" s="2">
        <f t="shared" si="24"/>
        <v>906.4</v>
      </c>
      <c r="AJ174" s="2">
        <f t="shared" si="25"/>
        <v>135.82307692307691</v>
      </c>
      <c r="AK174" s="2">
        <f t="shared" si="26"/>
        <v>130.5</v>
      </c>
      <c r="AL174" s="2">
        <f t="shared" si="27"/>
        <v>132.80000000000001</v>
      </c>
      <c r="AM174" s="2">
        <f t="shared" si="28"/>
        <v>122.6</v>
      </c>
      <c r="AN174" s="2">
        <f t="shared" si="29"/>
        <v>129.48571428571429</v>
      </c>
    </row>
    <row r="175" spans="1:40" x14ac:dyDescent="0.3">
      <c r="A175" t="s">
        <v>33</v>
      </c>
      <c r="B175">
        <v>2017</v>
      </c>
      <c r="C175" t="s">
        <v>42</v>
      </c>
      <c r="D175" s="2">
        <v>135.30000000000001</v>
      </c>
      <c r="E175" s="2">
        <v>142.19999999999999</v>
      </c>
      <c r="F175" s="2">
        <v>131.19999999999999</v>
      </c>
      <c r="G175" s="2">
        <v>140.6</v>
      </c>
      <c r="H175" s="2">
        <v>119</v>
      </c>
      <c r="I175" s="2">
        <v>141.5</v>
      </c>
      <c r="J175" s="2">
        <v>162.6</v>
      </c>
      <c r="K175" s="2">
        <v>132.30000000000001</v>
      </c>
      <c r="L175" s="2">
        <v>121.8</v>
      </c>
      <c r="M175" s="2">
        <v>136.30000000000001</v>
      </c>
      <c r="N175" s="2">
        <v>128.69999999999999</v>
      </c>
      <c r="O175" s="2">
        <v>148.1</v>
      </c>
      <c r="P175" s="2">
        <v>140.1</v>
      </c>
      <c r="Q175" s="2">
        <v>151.6</v>
      </c>
      <c r="R175" s="2">
        <v>142</v>
      </c>
      <c r="S175" s="2">
        <v>134.1</v>
      </c>
      <c r="T175" s="2">
        <v>140.80000000000001</v>
      </c>
      <c r="U175" s="2">
        <v>137.30000000000001</v>
      </c>
      <c r="V175" s="2">
        <v>132.19999999999999</v>
      </c>
      <c r="W175" s="2">
        <v>133.6</v>
      </c>
      <c r="X175" s="2">
        <v>131.30000000000001</v>
      </c>
      <c r="Y175" s="2">
        <v>117.8</v>
      </c>
      <c r="Z175" s="2">
        <v>128.4</v>
      </c>
      <c r="AA175" s="2">
        <v>137.9</v>
      </c>
      <c r="AB175" s="2">
        <v>126.2</v>
      </c>
      <c r="AC175" s="2">
        <v>127.7</v>
      </c>
      <c r="AD175" s="2">
        <v>136.1</v>
      </c>
      <c r="AE175" s="2">
        <f t="shared" si="20"/>
        <v>1779.6999999999998</v>
      </c>
      <c r="AF175" s="2">
        <f t="shared" si="21"/>
        <v>416.90000000000003</v>
      </c>
      <c r="AG175" s="2">
        <f t="shared" si="22"/>
        <v>270.89999999999998</v>
      </c>
      <c r="AH175" s="2">
        <f t="shared" si="23"/>
        <v>132.19999999999999</v>
      </c>
      <c r="AI175" s="2">
        <f t="shared" si="24"/>
        <v>920.90000000000009</v>
      </c>
      <c r="AJ175" s="2">
        <f t="shared" si="25"/>
        <v>136.89999999999998</v>
      </c>
      <c r="AK175" s="2">
        <f t="shared" si="26"/>
        <v>138.96666666666667</v>
      </c>
      <c r="AL175" s="2">
        <f t="shared" si="27"/>
        <v>135.44999999999999</v>
      </c>
      <c r="AM175" s="2">
        <f t="shared" si="28"/>
        <v>132.19999999999999</v>
      </c>
      <c r="AN175" s="2">
        <f t="shared" si="29"/>
        <v>131.55714285714288</v>
      </c>
    </row>
    <row r="176" spans="1:40" x14ac:dyDescent="0.3">
      <c r="A176" t="s">
        <v>30</v>
      </c>
      <c r="B176">
        <v>2017</v>
      </c>
      <c r="C176" t="s">
        <v>44</v>
      </c>
      <c r="D176" s="2">
        <v>136.30000000000001</v>
      </c>
      <c r="E176" s="2">
        <v>142.5</v>
      </c>
      <c r="F176" s="2">
        <v>140.5</v>
      </c>
      <c r="G176" s="2">
        <v>141.5</v>
      </c>
      <c r="H176" s="2">
        <v>121.6</v>
      </c>
      <c r="I176" s="2">
        <v>147.30000000000001</v>
      </c>
      <c r="J176" s="2">
        <v>168</v>
      </c>
      <c r="K176" s="2">
        <v>135.80000000000001</v>
      </c>
      <c r="L176" s="2">
        <v>122.5</v>
      </c>
      <c r="M176" s="2">
        <v>136</v>
      </c>
      <c r="N176" s="2">
        <v>131.9</v>
      </c>
      <c r="O176" s="2">
        <v>151.4</v>
      </c>
      <c r="P176" s="2">
        <v>142.4</v>
      </c>
      <c r="Q176" s="2">
        <v>152.1</v>
      </c>
      <c r="R176" s="2">
        <v>148.19999999999999</v>
      </c>
      <c r="S176" s="2">
        <v>141.5</v>
      </c>
      <c r="T176" s="2">
        <v>147.30000000000001</v>
      </c>
      <c r="U176" s="2">
        <f>AVERAGE(U177,U178)</f>
        <v>138.6</v>
      </c>
      <c r="V176" s="2">
        <v>141.1</v>
      </c>
      <c r="W176" s="2">
        <v>139.4</v>
      </c>
      <c r="X176" s="2">
        <v>135.80000000000001</v>
      </c>
      <c r="Y176" s="2">
        <v>121.6</v>
      </c>
      <c r="Z176" s="2">
        <v>133.69999999999999</v>
      </c>
      <c r="AA176" s="2">
        <v>141.5</v>
      </c>
      <c r="AB176" s="2">
        <v>128.1</v>
      </c>
      <c r="AC176" s="2">
        <v>131.69999999999999</v>
      </c>
      <c r="AD176" s="2">
        <v>140</v>
      </c>
      <c r="AE176" s="2">
        <f t="shared" si="20"/>
        <v>1817.7000000000003</v>
      </c>
      <c r="AF176" s="2">
        <f t="shared" si="21"/>
        <v>437</v>
      </c>
      <c r="AG176" s="2">
        <f t="shared" si="22"/>
        <v>278</v>
      </c>
      <c r="AH176" s="2">
        <f t="shared" si="23"/>
        <v>141.1</v>
      </c>
      <c r="AI176" s="2">
        <f t="shared" si="24"/>
        <v>944.49999999999989</v>
      </c>
      <c r="AJ176" s="2">
        <f t="shared" si="25"/>
        <v>139.82307692307694</v>
      </c>
      <c r="AK176" s="2">
        <f t="shared" si="26"/>
        <v>145.66666666666666</v>
      </c>
      <c r="AL176" s="2">
        <f t="shared" si="27"/>
        <v>139</v>
      </c>
      <c r="AM176" s="2">
        <f t="shared" si="28"/>
        <v>141.1</v>
      </c>
      <c r="AN176" s="2">
        <f t="shared" si="29"/>
        <v>134.92857142857142</v>
      </c>
    </row>
    <row r="177" spans="1:40" x14ac:dyDescent="0.3">
      <c r="A177" t="s">
        <v>32</v>
      </c>
      <c r="B177">
        <v>2017</v>
      </c>
      <c r="C177" t="s">
        <v>44</v>
      </c>
      <c r="D177" s="2">
        <v>134.30000000000001</v>
      </c>
      <c r="E177" s="2">
        <v>142.1</v>
      </c>
      <c r="F177" s="2">
        <v>146.69999999999999</v>
      </c>
      <c r="G177" s="2">
        <v>139.5</v>
      </c>
      <c r="H177" s="2">
        <v>115.2</v>
      </c>
      <c r="I177" s="2">
        <v>136.4</v>
      </c>
      <c r="J177" s="2">
        <v>185.2</v>
      </c>
      <c r="K177" s="2">
        <v>122.2</v>
      </c>
      <c r="L177" s="2">
        <v>123.9</v>
      </c>
      <c r="M177" s="2">
        <v>138.30000000000001</v>
      </c>
      <c r="N177" s="2">
        <v>125.4</v>
      </c>
      <c r="O177" s="2">
        <v>146</v>
      </c>
      <c r="P177" s="2">
        <v>141.5</v>
      </c>
      <c r="Q177" s="2">
        <v>156.19999999999999</v>
      </c>
      <c r="R177" s="2">
        <v>135</v>
      </c>
      <c r="S177" s="2">
        <v>125.4</v>
      </c>
      <c r="T177" s="2">
        <v>133.5</v>
      </c>
      <c r="U177" s="2">
        <v>138.6</v>
      </c>
      <c r="V177" s="2">
        <v>125.7</v>
      </c>
      <c r="W177" s="2">
        <v>128.80000000000001</v>
      </c>
      <c r="X177" s="2">
        <v>127.4</v>
      </c>
      <c r="Y177" s="2">
        <v>115.3</v>
      </c>
      <c r="Z177" s="2">
        <v>125.1</v>
      </c>
      <c r="AA177" s="2">
        <v>136.6</v>
      </c>
      <c r="AB177" s="2">
        <v>124.9</v>
      </c>
      <c r="AC177" s="2">
        <v>124.9</v>
      </c>
      <c r="AD177" s="2">
        <v>134.80000000000001</v>
      </c>
      <c r="AE177" s="2">
        <f t="shared" si="20"/>
        <v>1796.7</v>
      </c>
      <c r="AF177" s="2">
        <f t="shared" si="21"/>
        <v>393.9</v>
      </c>
      <c r="AG177" s="2">
        <f t="shared" si="22"/>
        <v>267.39999999999998</v>
      </c>
      <c r="AH177" s="2">
        <f t="shared" si="23"/>
        <v>125.7</v>
      </c>
      <c r="AI177" s="2">
        <f t="shared" si="24"/>
        <v>910.39999999999986</v>
      </c>
      <c r="AJ177" s="2">
        <f t="shared" si="25"/>
        <v>138.2076923076923</v>
      </c>
      <c r="AK177" s="2">
        <f t="shared" si="26"/>
        <v>131.29999999999998</v>
      </c>
      <c r="AL177" s="2">
        <f t="shared" si="27"/>
        <v>133.69999999999999</v>
      </c>
      <c r="AM177" s="2">
        <f t="shared" si="28"/>
        <v>125.7</v>
      </c>
      <c r="AN177" s="2">
        <f t="shared" si="29"/>
        <v>130.05714285714285</v>
      </c>
    </row>
    <row r="178" spans="1:40" x14ac:dyDescent="0.3">
      <c r="A178" t="s">
        <v>33</v>
      </c>
      <c r="B178">
        <v>2017</v>
      </c>
      <c r="C178" t="s">
        <v>44</v>
      </c>
      <c r="D178" s="2">
        <v>135.69999999999999</v>
      </c>
      <c r="E178" s="2">
        <v>142.4</v>
      </c>
      <c r="F178" s="2">
        <v>142.9</v>
      </c>
      <c r="G178" s="2">
        <v>140.80000000000001</v>
      </c>
      <c r="H178" s="2">
        <v>119.2</v>
      </c>
      <c r="I178" s="2">
        <v>142.19999999999999</v>
      </c>
      <c r="J178" s="2">
        <v>173.8</v>
      </c>
      <c r="K178" s="2">
        <v>131.19999999999999</v>
      </c>
      <c r="L178" s="2">
        <v>123</v>
      </c>
      <c r="M178" s="2">
        <v>136.80000000000001</v>
      </c>
      <c r="N178" s="2">
        <v>129.19999999999999</v>
      </c>
      <c r="O178" s="2">
        <v>148.9</v>
      </c>
      <c r="P178" s="2">
        <v>142.1</v>
      </c>
      <c r="Q178" s="2">
        <v>153.19999999999999</v>
      </c>
      <c r="R178" s="2">
        <v>143</v>
      </c>
      <c r="S178" s="2">
        <v>134.80000000000001</v>
      </c>
      <c r="T178" s="2">
        <v>141.80000000000001</v>
      </c>
      <c r="U178" s="2">
        <v>138.6</v>
      </c>
      <c r="V178" s="2">
        <v>135.30000000000001</v>
      </c>
      <c r="W178" s="2">
        <v>134.4</v>
      </c>
      <c r="X178" s="2">
        <v>132.6</v>
      </c>
      <c r="Y178" s="2">
        <v>118.3</v>
      </c>
      <c r="Z178" s="2">
        <v>128.9</v>
      </c>
      <c r="AA178" s="2">
        <v>138.6</v>
      </c>
      <c r="AB178" s="2">
        <v>126.8</v>
      </c>
      <c r="AC178" s="2">
        <v>128.4</v>
      </c>
      <c r="AD178" s="2">
        <v>137.6</v>
      </c>
      <c r="AE178" s="2">
        <f t="shared" si="20"/>
        <v>1808.2</v>
      </c>
      <c r="AF178" s="2">
        <f t="shared" si="21"/>
        <v>419.6</v>
      </c>
      <c r="AG178" s="2">
        <f t="shared" si="22"/>
        <v>273</v>
      </c>
      <c r="AH178" s="2">
        <f t="shared" si="23"/>
        <v>135.30000000000001</v>
      </c>
      <c r="AI178" s="2">
        <f t="shared" si="24"/>
        <v>926.8</v>
      </c>
      <c r="AJ178" s="2">
        <f t="shared" si="25"/>
        <v>139.09230769230768</v>
      </c>
      <c r="AK178" s="2">
        <f t="shared" si="26"/>
        <v>139.86666666666667</v>
      </c>
      <c r="AL178" s="2">
        <f t="shared" si="27"/>
        <v>136.5</v>
      </c>
      <c r="AM178" s="2">
        <f t="shared" si="28"/>
        <v>135.30000000000001</v>
      </c>
      <c r="AN178" s="2">
        <f t="shared" si="29"/>
        <v>132.4</v>
      </c>
    </row>
    <row r="179" spans="1:40" x14ac:dyDescent="0.3">
      <c r="A179" t="s">
        <v>30</v>
      </c>
      <c r="B179">
        <v>2017</v>
      </c>
      <c r="C179" t="s">
        <v>45</v>
      </c>
      <c r="D179" s="2">
        <v>136.4</v>
      </c>
      <c r="E179" s="2">
        <v>143.69999999999999</v>
      </c>
      <c r="F179" s="2">
        <v>144.80000000000001</v>
      </c>
      <c r="G179" s="2">
        <v>141.9</v>
      </c>
      <c r="H179" s="2">
        <v>123.1</v>
      </c>
      <c r="I179" s="2">
        <v>147.19999999999999</v>
      </c>
      <c r="J179" s="2">
        <v>161</v>
      </c>
      <c r="K179" s="2">
        <v>133.80000000000001</v>
      </c>
      <c r="L179" s="2">
        <v>121.9</v>
      </c>
      <c r="M179" s="2">
        <v>135.80000000000001</v>
      </c>
      <c r="N179" s="2">
        <v>131.1</v>
      </c>
      <c r="O179" s="2">
        <v>151.4</v>
      </c>
      <c r="P179" s="2">
        <v>141.5</v>
      </c>
      <c r="Q179" s="2">
        <v>153.19999999999999</v>
      </c>
      <c r="R179" s="2">
        <v>148</v>
      </c>
      <c r="S179" s="2">
        <v>141.9</v>
      </c>
      <c r="T179" s="2">
        <v>147.19999999999999</v>
      </c>
      <c r="U179" s="2">
        <f>AVERAGE(U180,U181)</f>
        <v>139.1</v>
      </c>
      <c r="V179" s="2">
        <v>142.6</v>
      </c>
      <c r="W179" s="2">
        <v>139.5</v>
      </c>
      <c r="X179" s="2">
        <v>136.1</v>
      </c>
      <c r="Y179" s="2">
        <v>122</v>
      </c>
      <c r="Z179" s="2">
        <v>133.4</v>
      </c>
      <c r="AA179" s="2">
        <v>141.1</v>
      </c>
      <c r="AB179" s="2">
        <v>127.8</v>
      </c>
      <c r="AC179" s="2">
        <v>131.9</v>
      </c>
      <c r="AD179" s="2">
        <v>139.80000000000001</v>
      </c>
      <c r="AE179" s="2">
        <f t="shared" si="20"/>
        <v>1813.6000000000001</v>
      </c>
      <c r="AF179" s="2">
        <f t="shared" si="21"/>
        <v>437.09999999999997</v>
      </c>
      <c r="AG179" s="2">
        <f t="shared" si="22"/>
        <v>278.60000000000002</v>
      </c>
      <c r="AH179" s="2">
        <f t="shared" si="23"/>
        <v>142.6</v>
      </c>
      <c r="AI179" s="2">
        <f t="shared" si="24"/>
        <v>945.5</v>
      </c>
      <c r="AJ179" s="2">
        <f t="shared" si="25"/>
        <v>139.50769230769231</v>
      </c>
      <c r="AK179" s="2">
        <f t="shared" si="26"/>
        <v>145.69999999999999</v>
      </c>
      <c r="AL179" s="2">
        <f t="shared" si="27"/>
        <v>139.30000000000001</v>
      </c>
      <c r="AM179" s="2">
        <f t="shared" si="28"/>
        <v>142.6</v>
      </c>
      <c r="AN179" s="2">
        <f t="shared" si="29"/>
        <v>135.07142857142858</v>
      </c>
    </row>
    <row r="180" spans="1:40" x14ac:dyDescent="0.3">
      <c r="A180" t="s">
        <v>32</v>
      </c>
      <c r="B180">
        <v>2017</v>
      </c>
      <c r="C180" t="s">
        <v>45</v>
      </c>
      <c r="D180" s="2">
        <v>134.4</v>
      </c>
      <c r="E180" s="2">
        <v>142.6</v>
      </c>
      <c r="F180" s="2">
        <v>145.9</v>
      </c>
      <c r="G180" s="2">
        <v>139.5</v>
      </c>
      <c r="H180" s="2">
        <v>115.9</v>
      </c>
      <c r="I180" s="2">
        <v>135</v>
      </c>
      <c r="J180" s="2">
        <v>163.19999999999999</v>
      </c>
      <c r="K180" s="2">
        <v>119.8</v>
      </c>
      <c r="L180" s="2">
        <v>120.7</v>
      </c>
      <c r="M180" s="2">
        <v>139.69999999999999</v>
      </c>
      <c r="N180" s="2">
        <v>125.7</v>
      </c>
      <c r="O180" s="2">
        <v>146.30000000000001</v>
      </c>
      <c r="P180" s="2">
        <v>138.80000000000001</v>
      </c>
      <c r="Q180" s="2">
        <v>157</v>
      </c>
      <c r="R180" s="2">
        <v>135.6</v>
      </c>
      <c r="S180" s="2">
        <v>125.6</v>
      </c>
      <c r="T180" s="2">
        <v>134</v>
      </c>
      <c r="U180" s="2">
        <v>139.1</v>
      </c>
      <c r="V180" s="2">
        <v>126.8</v>
      </c>
      <c r="W180" s="2">
        <v>129.30000000000001</v>
      </c>
      <c r="X180" s="2">
        <v>128.19999999999999</v>
      </c>
      <c r="Y180" s="2">
        <v>115.3</v>
      </c>
      <c r="Z180" s="2">
        <v>125.6</v>
      </c>
      <c r="AA180" s="2">
        <v>136.69999999999999</v>
      </c>
      <c r="AB180" s="2">
        <v>124.6</v>
      </c>
      <c r="AC180" s="2">
        <v>125.1</v>
      </c>
      <c r="AD180" s="2">
        <v>134.1</v>
      </c>
      <c r="AE180" s="2">
        <f t="shared" si="20"/>
        <v>1767.5</v>
      </c>
      <c r="AF180" s="2">
        <f t="shared" si="21"/>
        <v>395.2</v>
      </c>
      <c r="AG180" s="2">
        <f t="shared" si="22"/>
        <v>268.39999999999998</v>
      </c>
      <c r="AH180" s="2">
        <f t="shared" si="23"/>
        <v>126.8</v>
      </c>
      <c r="AI180" s="2">
        <f t="shared" si="24"/>
        <v>912.5</v>
      </c>
      <c r="AJ180" s="2">
        <f t="shared" si="25"/>
        <v>135.96153846153845</v>
      </c>
      <c r="AK180" s="2">
        <f t="shared" si="26"/>
        <v>131.73333333333332</v>
      </c>
      <c r="AL180" s="2">
        <f t="shared" si="27"/>
        <v>134.19999999999999</v>
      </c>
      <c r="AM180" s="2">
        <f t="shared" si="28"/>
        <v>126.8</v>
      </c>
      <c r="AN180" s="2">
        <f t="shared" si="29"/>
        <v>130.35714285714286</v>
      </c>
    </row>
    <row r="181" spans="1:40" x14ac:dyDescent="0.3">
      <c r="A181" t="s">
        <v>33</v>
      </c>
      <c r="B181">
        <v>2017</v>
      </c>
      <c r="C181" t="s">
        <v>45</v>
      </c>
      <c r="D181" s="2">
        <v>135.80000000000001</v>
      </c>
      <c r="E181" s="2">
        <v>143.30000000000001</v>
      </c>
      <c r="F181" s="2">
        <v>145.19999999999999</v>
      </c>
      <c r="G181" s="2">
        <v>141</v>
      </c>
      <c r="H181" s="2">
        <v>120.5</v>
      </c>
      <c r="I181" s="2">
        <v>141.5</v>
      </c>
      <c r="J181" s="2">
        <v>161.69999999999999</v>
      </c>
      <c r="K181" s="2">
        <v>129.1</v>
      </c>
      <c r="L181" s="2">
        <v>121.5</v>
      </c>
      <c r="M181" s="2">
        <v>137.1</v>
      </c>
      <c r="N181" s="2">
        <v>128.80000000000001</v>
      </c>
      <c r="O181" s="2">
        <v>149</v>
      </c>
      <c r="P181" s="2">
        <v>140.5</v>
      </c>
      <c r="Q181" s="2">
        <v>154.19999999999999</v>
      </c>
      <c r="R181" s="2">
        <v>143.1</v>
      </c>
      <c r="S181" s="2">
        <v>135.1</v>
      </c>
      <c r="T181" s="2">
        <v>142</v>
      </c>
      <c r="U181" s="2">
        <v>139.1</v>
      </c>
      <c r="V181" s="2">
        <v>136.6</v>
      </c>
      <c r="W181" s="2">
        <v>134.69999999999999</v>
      </c>
      <c r="X181" s="2">
        <v>133.1</v>
      </c>
      <c r="Y181" s="2">
        <v>118.5</v>
      </c>
      <c r="Z181" s="2">
        <v>129</v>
      </c>
      <c r="AA181" s="2">
        <v>138.5</v>
      </c>
      <c r="AB181" s="2">
        <v>126.5</v>
      </c>
      <c r="AC181" s="2">
        <v>128.6</v>
      </c>
      <c r="AD181" s="2">
        <v>137.19999999999999</v>
      </c>
      <c r="AE181" s="2">
        <f t="shared" si="20"/>
        <v>1794.9999999999998</v>
      </c>
      <c r="AF181" s="2">
        <f t="shared" si="21"/>
        <v>420.2</v>
      </c>
      <c r="AG181" s="2">
        <f t="shared" si="22"/>
        <v>273.79999999999995</v>
      </c>
      <c r="AH181" s="2">
        <f t="shared" si="23"/>
        <v>136.6</v>
      </c>
      <c r="AI181" s="2">
        <f t="shared" si="24"/>
        <v>928.40000000000009</v>
      </c>
      <c r="AJ181" s="2">
        <f t="shared" si="25"/>
        <v>138.07692307692307</v>
      </c>
      <c r="AK181" s="2">
        <f t="shared" si="26"/>
        <v>140.06666666666666</v>
      </c>
      <c r="AL181" s="2">
        <f t="shared" si="27"/>
        <v>136.89999999999998</v>
      </c>
      <c r="AM181" s="2">
        <f t="shared" si="28"/>
        <v>136.6</v>
      </c>
      <c r="AN181" s="2">
        <f t="shared" si="29"/>
        <v>132.62857142857143</v>
      </c>
    </row>
    <row r="182" spans="1:40" x14ac:dyDescent="0.3">
      <c r="A182" t="s">
        <v>30</v>
      </c>
      <c r="B182">
        <v>2018</v>
      </c>
      <c r="C182" t="s">
        <v>31</v>
      </c>
      <c r="D182" s="2">
        <v>136.6</v>
      </c>
      <c r="E182" s="2">
        <v>144.4</v>
      </c>
      <c r="F182" s="2">
        <v>143.80000000000001</v>
      </c>
      <c r="G182" s="2">
        <v>142</v>
      </c>
      <c r="H182" s="2">
        <v>123.2</v>
      </c>
      <c r="I182" s="2">
        <v>147.9</v>
      </c>
      <c r="J182" s="2">
        <v>152.1</v>
      </c>
      <c r="K182" s="2">
        <v>131.80000000000001</v>
      </c>
      <c r="L182" s="2">
        <v>119.5</v>
      </c>
      <c r="M182" s="2">
        <v>136</v>
      </c>
      <c r="N182" s="2">
        <v>131.19999999999999</v>
      </c>
      <c r="O182" s="2">
        <v>151.80000000000001</v>
      </c>
      <c r="P182" s="2">
        <v>140.4</v>
      </c>
      <c r="Q182" s="2">
        <v>153.6</v>
      </c>
      <c r="R182" s="2">
        <v>148.30000000000001</v>
      </c>
      <c r="S182" s="2">
        <v>142.30000000000001</v>
      </c>
      <c r="T182" s="2">
        <v>147.5</v>
      </c>
      <c r="U182" s="2">
        <f>AVERAGE(U183,U184)</f>
        <v>140.4</v>
      </c>
      <c r="V182" s="2">
        <v>142.30000000000001</v>
      </c>
      <c r="W182" s="2">
        <v>139.80000000000001</v>
      </c>
      <c r="X182" s="2">
        <v>136</v>
      </c>
      <c r="Y182" s="2">
        <v>122.7</v>
      </c>
      <c r="Z182" s="2">
        <v>134.30000000000001</v>
      </c>
      <c r="AA182" s="2">
        <v>141.6</v>
      </c>
      <c r="AB182" s="2">
        <v>128.6</v>
      </c>
      <c r="AC182" s="2">
        <v>132.30000000000001</v>
      </c>
      <c r="AD182" s="2">
        <v>139.30000000000001</v>
      </c>
      <c r="AE182" s="2">
        <f t="shared" si="20"/>
        <v>1800.7</v>
      </c>
      <c r="AF182" s="2">
        <f t="shared" si="21"/>
        <v>438.1</v>
      </c>
      <c r="AG182" s="2">
        <f t="shared" si="22"/>
        <v>280.20000000000005</v>
      </c>
      <c r="AH182" s="2">
        <f t="shared" si="23"/>
        <v>142.30000000000001</v>
      </c>
      <c r="AI182" s="2">
        <f t="shared" si="24"/>
        <v>949.1</v>
      </c>
      <c r="AJ182" s="2">
        <f t="shared" si="25"/>
        <v>138.51538461538462</v>
      </c>
      <c r="AK182" s="2">
        <f t="shared" si="26"/>
        <v>146.03333333333333</v>
      </c>
      <c r="AL182" s="2">
        <f t="shared" si="27"/>
        <v>140.10000000000002</v>
      </c>
      <c r="AM182" s="2">
        <f t="shared" si="28"/>
        <v>142.30000000000001</v>
      </c>
      <c r="AN182" s="2">
        <f t="shared" si="29"/>
        <v>135.58571428571429</v>
      </c>
    </row>
    <row r="183" spans="1:40" x14ac:dyDescent="0.3">
      <c r="A183" t="s">
        <v>32</v>
      </c>
      <c r="B183">
        <v>2018</v>
      </c>
      <c r="C183" t="s">
        <v>31</v>
      </c>
      <c r="D183" s="2">
        <v>134.6</v>
      </c>
      <c r="E183" s="2">
        <v>143.69999999999999</v>
      </c>
      <c r="F183" s="2">
        <v>143.6</v>
      </c>
      <c r="G183" s="2">
        <v>139.6</v>
      </c>
      <c r="H183" s="2">
        <v>116.4</v>
      </c>
      <c r="I183" s="2">
        <v>133.80000000000001</v>
      </c>
      <c r="J183" s="2">
        <v>150.5</v>
      </c>
      <c r="K183" s="2">
        <v>118.4</v>
      </c>
      <c r="L183" s="2">
        <v>117.3</v>
      </c>
      <c r="M183" s="2">
        <v>140.5</v>
      </c>
      <c r="N183" s="2">
        <v>125.9</v>
      </c>
      <c r="O183" s="2">
        <v>146.80000000000001</v>
      </c>
      <c r="P183" s="2">
        <v>137.19999999999999</v>
      </c>
      <c r="Q183" s="2">
        <v>157.69999999999999</v>
      </c>
      <c r="R183" s="2">
        <v>136</v>
      </c>
      <c r="S183" s="2">
        <v>125.9</v>
      </c>
      <c r="T183" s="2">
        <v>134.4</v>
      </c>
      <c r="U183" s="2">
        <v>140.4</v>
      </c>
      <c r="V183" s="2">
        <v>127.3</v>
      </c>
      <c r="W183" s="2">
        <v>129.5</v>
      </c>
      <c r="X183" s="2">
        <v>129</v>
      </c>
      <c r="Y183" s="2">
        <v>116.3</v>
      </c>
      <c r="Z183" s="2">
        <v>126.2</v>
      </c>
      <c r="AA183" s="2">
        <v>137.1</v>
      </c>
      <c r="AB183" s="2">
        <v>125.5</v>
      </c>
      <c r="AC183" s="2">
        <v>125.8</v>
      </c>
      <c r="AD183" s="2">
        <v>134.1</v>
      </c>
      <c r="AE183" s="2">
        <f t="shared" si="20"/>
        <v>1748.3000000000002</v>
      </c>
      <c r="AF183" s="2">
        <f t="shared" si="21"/>
        <v>396.29999999999995</v>
      </c>
      <c r="AG183" s="2">
        <f t="shared" si="22"/>
        <v>269.89999999999998</v>
      </c>
      <c r="AH183" s="2">
        <f t="shared" si="23"/>
        <v>127.3</v>
      </c>
      <c r="AI183" s="2">
        <f t="shared" si="24"/>
        <v>917.59999999999991</v>
      </c>
      <c r="AJ183" s="2">
        <f t="shared" si="25"/>
        <v>134.48461538461541</v>
      </c>
      <c r="AK183" s="2">
        <f t="shared" si="26"/>
        <v>132.1</v>
      </c>
      <c r="AL183" s="2">
        <f t="shared" si="27"/>
        <v>134.94999999999999</v>
      </c>
      <c r="AM183" s="2">
        <f t="shared" si="28"/>
        <v>127.3</v>
      </c>
      <c r="AN183" s="2">
        <f t="shared" si="29"/>
        <v>131.08571428571426</v>
      </c>
    </row>
    <row r="184" spans="1:40" x14ac:dyDescent="0.3">
      <c r="A184" t="s">
        <v>33</v>
      </c>
      <c r="B184">
        <v>2018</v>
      </c>
      <c r="C184" t="s">
        <v>31</v>
      </c>
      <c r="D184" s="2">
        <v>136</v>
      </c>
      <c r="E184" s="2">
        <v>144.19999999999999</v>
      </c>
      <c r="F184" s="2">
        <v>143.69999999999999</v>
      </c>
      <c r="G184" s="2">
        <v>141.1</v>
      </c>
      <c r="H184" s="2">
        <v>120.7</v>
      </c>
      <c r="I184" s="2">
        <v>141.30000000000001</v>
      </c>
      <c r="J184" s="2">
        <v>151.6</v>
      </c>
      <c r="K184" s="2">
        <v>127.3</v>
      </c>
      <c r="L184" s="2">
        <v>118.8</v>
      </c>
      <c r="M184" s="2">
        <v>137.5</v>
      </c>
      <c r="N184" s="2">
        <v>129</v>
      </c>
      <c r="O184" s="2">
        <v>149.5</v>
      </c>
      <c r="P184" s="2">
        <v>139.19999999999999</v>
      </c>
      <c r="Q184" s="2">
        <v>154.69999999999999</v>
      </c>
      <c r="R184" s="2">
        <v>143.5</v>
      </c>
      <c r="S184" s="2">
        <v>135.5</v>
      </c>
      <c r="T184" s="2">
        <v>142.30000000000001</v>
      </c>
      <c r="U184" s="2">
        <v>140.4</v>
      </c>
      <c r="V184" s="2">
        <v>136.6</v>
      </c>
      <c r="W184" s="2">
        <v>134.9</v>
      </c>
      <c r="X184" s="2">
        <v>133.30000000000001</v>
      </c>
      <c r="Y184" s="2">
        <v>119.3</v>
      </c>
      <c r="Z184" s="2">
        <v>129.69999999999999</v>
      </c>
      <c r="AA184" s="2">
        <v>139</v>
      </c>
      <c r="AB184" s="2">
        <v>127.3</v>
      </c>
      <c r="AC184" s="2">
        <v>129.1</v>
      </c>
      <c r="AD184" s="2">
        <v>136.9</v>
      </c>
      <c r="AE184" s="2">
        <f t="shared" si="20"/>
        <v>1779.9</v>
      </c>
      <c r="AF184" s="2">
        <f t="shared" si="21"/>
        <v>421.3</v>
      </c>
      <c r="AG184" s="2">
        <f t="shared" si="22"/>
        <v>275.3</v>
      </c>
      <c r="AH184" s="2">
        <f t="shared" si="23"/>
        <v>136.6</v>
      </c>
      <c r="AI184" s="2">
        <f t="shared" si="24"/>
        <v>932.39999999999986</v>
      </c>
      <c r="AJ184" s="2">
        <f t="shared" si="25"/>
        <v>136.91538461538462</v>
      </c>
      <c r="AK184" s="2">
        <f t="shared" si="26"/>
        <v>140.43333333333334</v>
      </c>
      <c r="AL184" s="2">
        <f t="shared" si="27"/>
        <v>137.65</v>
      </c>
      <c r="AM184" s="2">
        <f t="shared" si="28"/>
        <v>136.6</v>
      </c>
      <c r="AN184" s="2">
        <f t="shared" si="29"/>
        <v>133.19999999999999</v>
      </c>
    </row>
    <row r="185" spans="1:40" x14ac:dyDescent="0.3">
      <c r="A185" t="s">
        <v>30</v>
      </c>
      <c r="B185">
        <v>2018</v>
      </c>
      <c r="C185" t="s">
        <v>34</v>
      </c>
      <c r="D185" s="2">
        <v>136.4</v>
      </c>
      <c r="E185" s="2">
        <v>143.69999999999999</v>
      </c>
      <c r="F185" s="2">
        <v>140.6</v>
      </c>
      <c r="G185" s="2">
        <v>141.5</v>
      </c>
      <c r="H185" s="2">
        <v>122.9</v>
      </c>
      <c r="I185" s="2">
        <v>149.4</v>
      </c>
      <c r="J185" s="2">
        <v>142.4</v>
      </c>
      <c r="K185" s="2">
        <v>130.19999999999999</v>
      </c>
      <c r="L185" s="2">
        <v>117.9</v>
      </c>
      <c r="M185" s="2">
        <v>135.6</v>
      </c>
      <c r="N185" s="2">
        <v>130.5</v>
      </c>
      <c r="O185" s="2">
        <v>151.69999999999999</v>
      </c>
      <c r="P185" s="2">
        <v>138.69999999999999</v>
      </c>
      <c r="Q185" s="2">
        <v>153.30000000000001</v>
      </c>
      <c r="R185" s="2">
        <v>148.69999999999999</v>
      </c>
      <c r="S185" s="2">
        <v>142.4</v>
      </c>
      <c r="T185" s="2">
        <v>147.80000000000001</v>
      </c>
      <c r="U185" s="2">
        <f>AVERAGE(U186,U187)</f>
        <v>141.30000000000001</v>
      </c>
      <c r="V185" s="2">
        <v>142.4</v>
      </c>
      <c r="W185" s="2">
        <v>139.9</v>
      </c>
      <c r="X185" s="2">
        <v>136.19999999999999</v>
      </c>
      <c r="Y185" s="2">
        <v>123.3</v>
      </c>
      <c r="Z185" s="2">
        <v>134.30000000000001</v>
      </c>
      <c r="AA185" s="2">
        <v>141.5</v>
      </c>
      <c r="AB185" s="2">
        <v>128.80000000000001</v>
      </c>
      <c r="AC185" s="2">
        <v>132.5</v>
      </c>
      <c r="AD185" s="2">
        <v>138.5</v>
      </c>
      <c r="AE185" s="2">
        <f t="shared" si="20"/>
        <v>1781.5</v>
      </c>
      <c r="AF185" s="2">
        <f t="shared" si="21"/>
        <v>438.90000000000003</v>
      </c>
      <c r="AG185" s="2">
        <f t="shared" si="22"/>
        <v>281.20000000000005</v>
      </c>
      <c r="AH185" s="2">
        <f t="shared" si="23"/>
        <v>142.4</v>
      </c>
      <c r="AI185" s="2">
        <f t="shared" si="24"/>
        <v>949.89999999999986</v>
      </c>
      <c r="AJ185" s="2">
        <f t="shared" si="25"/>
        <v>137.03846153846155</v>
      </c>
      <c r="AK185" s="2">
        <f t="shared" si="26"/>
        <v>146.30000000000001</v>
      </c>
      <c r="AL185" s="2">
        <f t="shared" si="27"/>
        <v>140.60000000000002</v>
      </c>
      <c r="AM185" s="2">
        <f t="shared" si="28"/>
        <v>142.4</v>
      </c>
      <c r="AN185" s="2">
        <f t="shared" si="29"/>
        <v>135.69999999999999</v>
      </c>
    </row>
    <row r="186" spans="1:40" x14ac:dyDescent="0.3">
      <c r="A186" t="s">
        <v>32</v>
      </c>
      <c r="B186">
        <v>2018</v>
      </c>
      <c r="C186" t="s">
        <v>34</v>
      </c>
      <c r="D186" s="2">
        <v>134.80000000000001</v>
      </c>
      <c r="E186" s="2">
        <v>143</v>
      </c>
      <c r="F186" s="2">
        <v>139.9</v>
      </c>
      <c r="G186" s="2">
        <v>139.9</v>
      </c>
      <c r="H186" s="2">
        <v>116.2</v>
      </c>
      <c r="I186" s="2">
        <v>135.5</v>
      </c>
      <c r="J186" s="2">
        <v>136.9</v>
      </c>
      <c r="K186" s="2">
        <v>117</v>
      </c>
      <c r="L186" s="2">
        <v>115.4</v>
      </c>
      <c r="M186" s="2">
        <v>140.69999999999999</v>
      </c>
      <c r="N186" s="2">
        <v>125.9</v>
      </c>
      <c r="O186" s="2">
        <v>147.1</v>
      </c>
      <c r="P186" s="2">
        <v>135.6</v>
      </c>
      <c r="Q186" s="2">
        <v>159.30000000000001</v>
      </c>
      <c r="R186" s="2">
        <v>136.30000000000001</v>
      </c>
      <c r="S186" s="2">
        <v>126.1</v>
      </c>
      <c r="T186" s="2">
        <v>134.69999999999999</v>
      </c>
      <c r="U186" s="2">
        <v>141.30000000000001</v>
      </c>
      <c r="V186" s="2">
        <v>127.3</v>
      </c>
      <c r="W186" s="2">
        <v>129.9</v>
      </c>
      <c r="X186" s="2">
        <v>129.80000000000001</v>
      </c>
      <c r="Y186" s="2">
        <v>117.4</v>
      </c>
      <c r="Z186" s="2">
        <v>126.5</v>
      </c>
      <c r="AA186" s="2">
        <v>137.19999999999999</v>
      </c>
      <c r="AB186" s="2">
        <v>126.2</v>
      </c>
      <c r="AC186" s="2">
        <v>126.5</v>
      </c>
      <c r="AD186" s="2">
        <v>134</v>
      </c>
      <c r="AE186" s="2">
        <f t="shared" si="20"/>
        <v>1727.9</v>
      </c>
      <c r="AF186" s="2">
        <f t="shared" si="21"/>
        <v>397.09999999999997</v>
      </c>
      <c r="AG186" s="2">
        <f t="shared" si="22"/>
        <v>271.20000000000005</v>
      </c>
      <c r="AH186" s="2">
        <f t="shared" si="23"/>
        <v>127.3</v>
      </c>
      <c r="AI186" s="2">
        <f t="shared" si="24"/>
        <v>922.90000000000009</v>
      </c>
      <c r="AJ186" s="2">
        <f t="shared" si="25"/>
        <v>132.91538461538462</v>
      </c>
      <c r="AK186" s="2">
        <f t="shared" si="26"/>
        <v>132.36666666666665</v>
      </c>
      <c r="AL186" s="2">
        <f t="shared" si="27"/>
        <v>135.60000000000002</v>
      </c>
      <c r="AM186" s="2">
        <f t="shared" si="28"/>
        <v>127.3</v>
      </c>
      <c r="AN186" s="2">
        <f t="shared" si="29"/>
        <v>131.84285714285716</v>
      </c>
    </row>
    <row r="187" spans="1:40" x14ac:dyDescent="0.3">
      <c r="A187" t="s">
        <v>33</v>
      </c>
      <c r="B187">
        <v>2018</v>
      </c>
      <c r="C187" t="s">
        <v>34</v>
      </c>
      <c r="D187" s="2">
        <v>135.9</v>
      </c>
      <c r="E187" s="2">
        <v>143.5</v>
      </c>
      <c r="F187" s="2">
        <v>140.30000000000001</v>
      </c>
      <c r="G187" s="2">
        <v>140.9</v>
      </c>
      <c r="H187" s="2">
        <v>120.4</v>
      </c>
      <c r="I187" s="2">
        <v>142.9</v>
      </c>
      <c r="J187" s="2">
        <v>140.5</v>
      </c>
      <c r="K187" s="2">
        <v>125.8</v>
      </c>
      <c r="L187" s="2">
        <v>117.1</v>
      </c>
      <c r="M187" s="2">
        <v>137.30000000000001</v>
      </c>
      <c r="N187" s="2">
        <v>128.6</v>
      </c>
      <c r="O187" s="2">
        <v>149.6</v>
      </c>
      <c r="P187" s="2">
        <v>137.6</v>
      </c>
      <c r="Q187" s="2">
        <v>154.9</v>
      </c>
      <c r="R187" s="2">
        <v>143.80000000000001</v>
      </c>
      <c r="S187" s="2">
        <v>135.6</v>
      </c>
      <c r="T187" s="2">
        <v>142.6</v>
      </c>
      <c r="U187" s="2">
        <v>141.30000000000001</v>
      </c>
      <c r="V187" s="2">
        <v>136.69999999999999</v>
      </c>
      <c r="W187" s="2">
        <v>135.19999999999999</v>
      </c>
      <c r="X187" s="2">
        <v>133.80000000000001</v>
      </c>
      <c r="Y187" s="2">
        <v>120.2</v>
      </c>
      <c r="Z187" s="2">
        <v>129.9</v>
      </c>
      <c r="AA187" s="2">
        <v>139</v>
      </c>
      <c r="AB187" s="2">
        <v>127.7</v>
      </c>
      <c r="AC187" s="2">
        <v>129.6</v>
      </c>
      <c r="AD187" s="2">
        <v>136.4</v>
      </c>
      <c r="AE187" s="2">
        <f t="shared" si="20"/>
        <v>1760.3999999999996</v>
      </c>
      <c r="AF187" s="2">
        <f t="shared" si="21"/>
        <v>422</v>
      </c>
      <c r="AG187" s="2">
        <f t="shared" si="22"/>
        <v>276.5</v>
      </c>
      <c r="AH187" s="2">
        <f t="shared" si="23"/>
        <v>136.69999999999999</v>
      </c>
      <c r="AI187" s="2">
        <f t="shared" si="24"/>
        <v>935.1</v>
      </c>
      <c r="AJ187" s="2">
        <f t="shared" si="25"/>
        <v>135.4153846153846</v>
      </c>
      <c r="AK187" s="2">
        <f t="shared" si="26"/>
        <v>140.66666666666666</v>
      </c>
      <c r="AL187" s="2">
        <f t="shared" si="27"/>
        <v>138.25</v>
      </c>
      <c r="AM187" s="2">
        <f t="shared" si="28"/>
        <v>136.69999999999999</v>
      </c>
      <c r="AN187" s="2">
        <f t="shared" si="29"/>
        <v>133.58571428571429</v>
      </c>
    </row>
    <row r="188" spans="1:40" x14ac:dyDescent="0.3">
      <c r="A188" t="s">
        <v>30</v>
      </c>
      <c r="B188">
        <v>2018</v>
      </c>
      <c r="C188" t="s">
        <v>35</v>
      </c>
      <c r="D188" s="2">
        <v>136.80000000000001</v>
      </c>
      <c r="E188" s="2">
        <v>143.80000000000001</v>
      </c>
      <c r="F188" s="2">
        <v>140</v>
      </c>
      <c r="G188" s="2">
        <v>142</v>
      </c>
      <c r="H188" s="2">
        <v>123.2</v>
      </c>
      <c r="I188" s="2">
        <v>152.9</v>
      </c>
      <c r="J188" s="2">
        <v>138</v>
      </c>
      <c r="K188" s="2">
        <v>129.30000000000001</v>
      </c>
      <c r="L188" s="2">
        <v>117.1</v>
      </c>
      <c r="M188" s="2">
        <v>136.30000000000001</v>
      </c>
      <c r="N188" s="2">
        <v>131.19999999999999</v>
      </c>
      <c r="O188" s="2">
        <v>152.80000000000001</v>
      </c>
      <c r="P188" s="2">
        <v>138.6</v>
      </c>
      <c r="Q188" s="2">
        <v>155.1</v>
      </c>
      <c r="R188" s="2">
        <v>149.19999999999999</v>
      </c>
      <c r="S188" s="2">
        <v>143</v>
      </c>
      <c r="T188" s="2">
        <v>148.30000000000001</v>
      </c>
      <c r="U188" s="2">
        <f>AVERAGE(U189,U190)</f>
        <v>142</v>
      </c>
      <c r="V188" s="2">
        <v>142.6</v>
      </c>
      <c r="W188" s="2">
        <v>139.9</v>
      </c>
      <c r="X188" s="2">
        <v>136.69999999999999</v>
      </c>
      <c r="Y188" s="2">
        <v>124.6</v>
      </c>
      <c r="Z188" s="2">
        <v>135.1</v>
      </c>
      <c r="AA188" s="2">
        <v>142.69999999999999</v>
      </c>
      <c r="AB188" s="2">
        <v>129.30000000000001</v>
      </c>
      <c r="AC188" s="2">
        <v>133.30000000000001</v>
      </c>
      <c r="AD188" s="2">
        <v>138.69999999999999</v>
      </c>
      <c r="AE188" s="2">
        <f t="shared" si="20"/>
        <v>1781.9999999999998</v>
      </c>
      <c r="AF188" s="2">
        <f t="shared" si="21"/>
        <v>440.5</v>
      </c>
      <c r="AG188" s="2">
        <f t="shared" si="22"/>
        <v>281.89999999999998</v>
      </c>
      <c r="AH188" s="2">
        <f t="shared" si="23"/>
        <v>142.6</v>
      </c>
      <c r="AI188" s="2">
        <f t="shared" si="24"/>
        <v>956.79999999999984</v>
      </c>
      <c r="AJ188" s="2">
        <f t="shared" si="25"/>
        <v>137.07692307692307</v>
      </c>
      <c r="AK188" s="2">
        <f t="shared" si="26"/>
        <v>146.83333333333334</v>
      </c>
      <c r="AL188" s="2">
        <f t="shared" si="27"/>
        <v>140.94999999999999</v>
      </c>
      <c r="AM188" s="2">
        <f t="shared" si="28"/>
        <v>142.6</v>
      </c>
      <c r="AN188" s="2">
        <f t="shared" si="29"/>
        <v>136.68571428571425</v>
      </c>
    </row>
    <row r="189" spans="1:40" x14ac:dyDescent="0.3">
      <c r="A189" t="s">
        <v>32</v>
      </c>
      <c r="B189">
        <v>2018</v>
      </c>
      <c r="C189" t="s">
        <v>35</v>
      </c>
      <c r="D189" s="2">
        <v>135</v>
      </c>
      <c r="E189" s="2">
        <v>143.1</v>
      </c>
      <c r="F189" s="2">
        <v>135.5</v>
      </c>
      <c r="G189" s="2">
        <v>139.9</v>
      </c>
      <c r="H189" s="2">
        <v>116.5</v>
      </c>
      <c r="I189" s="2">
        <v>138.5</v>
      </c>
      <c r="J189" s="2">
        <v>128</v>
      </c>
      <c r="K189" s="2">
        <v>115.5</v>
      </c>
      <c r="L189" s="2">
        <v>114.2</v>
      </c>
      <c r="M189" s="2">
        <v>140.69999999999999</v>
      </c>
      <c r="N189" s="2">
        <v>126.2</v>
      </c>
      <c r="O189" s="2">
        <v>147.6</v>
      </c>
      <c r="P189" s="2">
        <v>134.80000000000001</v>
      </c>
      <c r="Q189" s="2">
        <v>159.69999999999999</v>
      </c>
      <c r="R189" s="2">
        <v>136.69999999999999</v>
      </c>
      <c r="S189" s="2">
        <v>126.7</v>
      </c>
      <c r="T189" s="2">
        <v>135.19999999999999</v>
      </c>
      <c r="U189" s="2">
        <v>142</v>
      </c>
      <c r="V189" s="2">
        <v>126.4</v>
      </c>
      <c r="W189" s="2">
        <v>130.80000000000001</v>
      </c>
      <c r="X189" s="2">
        <v>130.5</v>
      </c>
      <c r="Y189" s="2">
        <v>117.8</v>
      </c>
      <c r="Z189" s="2">
        <v>126.8</v>
      </c>
      <c r="AA189" s="2">
        <v>137.80000000000001</v>
      </c>
      <c r="AB189" s="2">
        <v>126.7</v>
      </c>
      <c r="AC189" s="2">
        <v>127.1</v>
      </c>
      <c r="AD189" s="2">
        <v>134</v>
      </c>
      <c r="AE189" s="2">
        <f t="shared" si="20"/>
        <v>1715.5</v>
      </c>
      <c r="AF189" s="2">
        <f t="shared" si="21"/>
        <v>398.59999999999997</v>
      </c>
      <c r="AG189" s="2">
        <f t="shared" si="22"/>
        <v>272.8</v>
      </c>
      <c r="AH189" s="2">
        <f t="shared" si="23"/>
        <v>126.4</v>
      </c>
      <c r="AI189" s="2">
        <f t="shared" si="24"/>
        <v>926.40000000000009</v>
      </c>
      <c r="AJ189" s="2">
        <f t="shared" si="25"/>
        <v>131.96153846153845</v>
      </c>
      <c r="AK189" s="2">
        <f t="shared" si="26"/>
        <v>132.86666666666665</v>
      </c>
      <c r="AL189" s="2">
        <f t="shared" si="27"/>
        <v>136.4</v>
      </c>
      <c r="AM189" s="2">
        <f t="shared" si="28"/>
        <v>126.4</v>
      </c>
      <c r="AN189" s="2">
        <f t="shared" si="29"/>
        <v>132.34285714285716</v>
      </c>
    </row>
    <row r="190" spans="1:40" x14ac:dyDescent="0.3">
      <c r="A190" t="s">
        <v>33</v>
      </c>
      <c r="B190">
        <v>2018</v>
      </c>
      <c r="C190" t="s">
        <v>35</v>
      </c>
      <c r="D190" s="2">
        <v>136.19999999999999</v>
      </c>
      <c r="E190" s="2">
        <v>143.6</v>
      </c>
      <c r="F190" s="2">
        <v>138.30000000000001</v>
      </c>
      <c r="G190" s="2">
        <v>141.19999999999999</v>
      </c>
      <c r="H190" s="2">
        <v>120.7</v>
      </c>
      <c r="I190" s="2">
        <v>146.19999999999999</v>
      </c>
      <c r="J190" s="2">
        <v>134.6</v>
      </c>
      <c r="K190" s="2">
        <v>124.6</v>
      </c>
      <c r="L190" s="2">
        <v>116.1</v>
      </c>
      <c r="M190" s="2">
        <v>137.80000000000001</v>
      </c>
      <c r="N190" s="2">
        <v>129.1</v>
      </c>
      <c r="O190" s="2">
        <v>150.4</v>
      </c>
      <c r="P190" s="2">
        <v>137.19999999999999</v>
      </c>
      <c r="Q190" s="2">
        <v>156.30000000000001</v>
      </c>
      <c r="R190" s="2">
        <v>144.30000000000001</v>
      </c>
      <c r="S190" s="2">
        <v>136.19999999999999</v>
      </c>
      <c r="T190" s="2">
        <v>143.1</v>
      </c>
      <c r="U190" s="2">
        <v>142</v>
      </c>
      <c r="V190" s="2">
        <v>136.5</v>
      </c>
      <c r="W190" s="2">
        <v>135.6</v>
      </c>
      <c r="X190" s="2">
        <v>134.30000000000001</v>
      </c>
      <c r="Y190" s="2">
        <v>121</v>
      </c>
      <c r="Z190" s="2">
        <v>130.4</v>
      </c>
      <c r="AA190" s="2">
        <v>139.80000000000001</v>
      </c>
      <c r="AB190" s="2">
        <v>128.19999999999999</v>
      </c>
      <c r="AC190" s="2">
        <v>130.30000000000001</v>
      </c>
      <c r="AD190" s="2">
        <v>136.5</v>
      </c>
      <c r="AE190" s="2">
        <f t="shared" si="20"/>
        <v>1756</v>
      </c>
      <c r="AF190" s="2">
        <f t="shared" si="21"/>
        <v>423.6</v>
      </c>
      <c r="AG190" s="2">
        <f t="shared" si="22"/>
        <v>277.60000000000002</v>
      </c>
      <c r="AH190" s="2">
        <f t="shared" si="23"/>
        <v>136.5</v>
      </c>
      <c r="AI190" s="2">
        <f t="shared" si="24"/>
        <v>940.3</v>
      </c>
      <c r="AJ190" s="2">
        <f t="shared" si="25"/>
        <v>135.07692307692307</v>
      </c>
      <c r="AK190" s="2">
        <f t="shared" si="26"/>
        <v>141.20000000000002</v>
      </c>
      <c r="AL190" s="2">
        <f t="shared" si="27"/>
        <v>138.80000000000001</v>
      </c>
      <c r="AM190" s="2">
        <f t="shared" si="28"/>
        <v>136.5</v>
      </c>
      <c r="AN190" s="2">
        <f t="shared" si="29"/>
        <v>134.32857142857142</v>
      </c>
    </row>
    <row r="191" spans="1:40" x14ac:dyDescent="0.3">
      <c r="A191" t="s">
        <v>30</v>
      </c>
      <c r="B191">
        <v>2018</v>
      </c>
      <c r="C191" t="s">
        <v>36</v>
      </c>
      <c r="D191" s="2">
        <v>137.1</v>
      </c>
      <c r="E191" s="2">
        <v>144.5</v>
      </c>
      <c r="F191" s="2">
        <v>135.9</v>
      </c>
      <c r="G191" s="2">
        <v>142.4</v>
      </c>
      <c r="H191" s="2">
        <v>123.5</v>
      </c>
      <c r="I191" s="2">
        <v>156.4</v>
      </c>
      <c r="J191" s="2">
        <v>135.1</v>
      </c>
      <c r="K191" s="2">
        <v>128.4</v>
      </c>
      <c r="L191" s="2">
        <v>115.2</v>
      </c>
      <c r="M191" s="2">
        <v>137.19999999999999</v>
      </c>
      <c r="N191" s="2">
        <v>131.9</v>
      </c>
      <c r="O191" s="2">
        <v>153.80000000000001</v>
      </c>
      <c r="P191" s="2">
        <v>138.6</v>
      </c>
      <c r="Q191" s="2">
        <v>156.1</v>
      </c>
      <c r="R191" s="2">
        <v>150.1</v>
      </c>
      <c r="S191" s="2">
        <v>143.30000000000001</v>
      </c>
      <c r="T191" s="2">
        <v>149.1</v>
      </c>
      <c r="U191" s="2">
        <f>AVERAGE(U192,U193)</f>
        <v>142.9</v>
      </c>
      <c r="V191" s="2">
        <v>143.80000000000001</v>
      </c>
      <c r="W191" s="2">
        <v>140.9</v>
      </c>
      <c r="X191" s="2">
        <v>137.6</v>
      </c>
      <c r="Y191" s="2">
        <v>125.3</v>
      </c>
      <c r="Z191" s="2">
        <v>136</v>
      </c>
      <c r="AA191" s="2">
        <v>143.69999999999999</v>
      </c>
      <c r="AB191" s="2">
        <v>130.4</v>
      </c>
      <c r="AC191" s="2">
        <v>134.19999999999999</v>
      </c>
      <c r="AD191" s="2">
        <v>139.1</v>
      </c>
      <c r="AE191" s="2">
        <f t="shared" si="20"/>
        <v>1780</v>
      </c>
      <c r="AF191" s="2">
        <f t="shared" si="21"/>
        <v>442.5</v>
      </c>
      <c r="AG191" s="2">
        <f t="shared" si="22"/>
        <v>283.8</v>
      </c>
      <c r="AH191" s="2">
        <f t="shared" si="23"/>
        <v>143.80000000000001</v>
      </c>
      <c r="AI191" s="2">
        <f t="shared" si="24"/>
        <v>963.29999999999984</v>
      </c>
      <c r="AJ191" s="2">
        <f t="shared" si="25"/>
        <v>136.92307692307693</v>
      </c>
      <c r="AK191" s="2">
        <f t="shared" si="26"/>
        <v>147.5</v>
      </c>
      <c r="AL191" s="2">
        <f t="shared" si="27"/>
        <v>141.9</v>
      </c>
      <c r="AM191" s="2">
        <f t="shared" si="28"/>
        <v>143.80000000000001</v>
      </c>
      <c r="AN191" s="2">
        <f t="shared" si="29"/>
        <v>137.6142857142857</v>
      </c>
    </row>
    <row r="192" spans="1:40" x14ac:dyDescent="0.3">
      <c r="A192" t="s">
        <v>32</v>
      </c>
      <c r="B192">
        <v>2018</v>
      </c>
      <c r="C192" t="s">
        <v>36</v>
      </c>
      <c r="D192" s="2">
        <v>135</v>
      </c>
      <c r="E192" s="2">
        <v>144.30000000000001</v>
      </c>
      <c r="F192" s="2">
        <v>130.80000000000001</v>
      </c>
      <c r="G192" s="2">
        <v>140.30000000000001</v>
      </c>
      <c r="H192" s="2">
        <v>116.6</v>
      </c>
      <c r="I192" s="2">
        <v>150.1</v>
      </c>
      <c r="J192" s="2">
        <v>127.6</v>
      </c>
      <c r="K192" s="2">
        <v>114</v>
      </c>
      <c r="L192" s="2">
        <v>110.6</v>
      </c>
      <c r="M192" s="2">
        <v>140.19999999999999</v>
      </c>
      <c r="N192" s="2">
        <v>126.5</v>
      </c>
      <c r="O192" s="2">
        <v>148.30000000000001</v>
      </c>
      <c r="P192" s="2">
        <v>135.69999999999999</v>
      </c>
      <c r="Q192" s="2">
        <v>159.19999999999999</v>
      </c>
      <c r="R192" s="2">
        <v>137.80000000000001</v>
      </c>
      <c r="S192" s="2">
        <v>127.4</v>
      </c>
      <c r="T192" s="2">
        <v>136.19999999999999</v>
      </c>
      <c r="U192" s="2">
        <v>142.9</v>
      </c>
      <c r="V192" s="2">
        <v>124.6</v>
      </c>
      <c r="W192" s="2">
        <v>131.80000000000001</v>
      </c>
      <c r="X192" s="2">
        <v>131.30000000000001</v>
      </c>
      <c r="Y192" s="2">
        <v>118.9</v>
      </c>
      <c r="Z192" s="2">
        <v>127.6</v>
      </c>
      <c r="AA192" s="2">
        <v>139.69999999999999</v>
      </c>
      <c r="AB192" s="2">
        <v>127.6</v>
      </c>
      <c r="AC192" s="2">
        <v>128.19999999999999</v>
      </c>
      <c r="AD192" s="2">
        <v>134.80000000000001</v>
      </c>
      <c r="AE192" s="2">
        <f t="shared" si="20"/>
        <v>1720.0000000000002</v>
      </c>
      <c r="AF192" s="2">
        <f t="shared" si="21"/>
        <v>401.40000000000003</v>
      </c>
      <c r="AG192" s="2">
        <f t="shared" si="22"/>
        <v>274.70000000000005</v>
      </c>
      <c r="AH192" s="2">
        <f t="shared" si="23"/>
        <v>124.6</v>
      </c>
      <c r="AI192" s="2">
        <f t="shared" si="24"/>
        <v>932.5</v>
      </c>
      <c r="AJ192" s="2">
        <f t="shared" si="25"/>
        <v>132.30769230769232</v>
      </c>
      <c r="AK192" s="2">
        <f t="shared" si="26"/>
        <v>133.80000000000001</v>
      </c>
      <c r="AL192" s="2">
        <f t="shared" si="27"/>
        <v>137.35000000000002</v>
      </c>
      <c r="AM192" s="2">
        <f t="shared" si="28"/>
        <v>124.6</v>
      </c>
      <c r="AN192" s="2">
        <f t="shared" si="29"/>
        <v>133.21428571428572</v>
      </c>
    </row>
    <row r="193" spans="1:40" x14ac:dyDescent="0.3">
      <c r="A193" t="s">
        <v>33</v>
      </c>
      <c r="B193">
        <v>2018</v>
      </c>
      <c r="C193" t="s">
        <v>36</v>
      </c>
      <c r="D193" s="2">
        <v>136.4</v>
      </c>
      <c r="E193" s="2">
        <v>144.4</v>
      </c>
      <c r="F193" s="2">
        <v>133.9</v>
      </c>
      <c r="G193" s="2">
        <v>141.6</v>
      </c>
      <c r="H193" s="2">
        <v>121</v>
      </c>
      <c r="I193" s="2">
        <v>153.5</v>
      </c>
      <c r="J193" s="2">
        <v>132.6</v>
      </c>
      <c r="K193" s="2">
        <v>123.5</v>
      </c>
      <c r="L193" s="2">
        <v>113.7</v>
      </c>
      <c r="M193" s="2">
        <v>138.19999999999999</v>
      </c>
      <c r="N193" s="2">
        <v>129.6</v>
      </c>
      <c r="O193" s="2">
        <v>151.19999999999999</v>
      </c>
      <c r="P193" s="2">
        <v>137.5</v>
      </c>
      <c r="Q193" s="2">
        <v>156.9</v>
      </c>
      <c r="R193" s="2">
        <v>145.30000000000001</v>
      </c>
      <c r="S193" s="2">
        <v>136.69999999999999</v>
      </c>
      <c r="T193" s="2">
        <v>144</v>
      </c>
      <c r="U193" s="2">
        <v>142.9</v>
      </c>
      <c r="V193" s="2">
        <v>136.5</v>
      </c>
      <c r="W193" s="2">
        <v>136.6</v>
      </c>
      <c r="X193" s="2">
        <v>135.19999999999999</v>
      </c>
      <c r="Y193" s="2">
        <v>121.9</v>
      </c>
      <c r="Z193" s="2">
        <v>131.30000000000001</v>
      </c>
      <c r="AA193" s="2">
        <v>141.4</v>
      </c>
      <c r="AB193" s="2">
        <v>129.19999999999999</v>
      </c>
      <c r="AC193" s="2">
        <v>131.30000000000001</v>
      </c>
      <c r="AD193" s="2">
        <v>137.1</v>
      </c>
      <c r="AE193" s="2">
        <f t="shared" si="20"/>
        <v>1757.1000000000001</v>
      </c>
      <c r="AF193" s="2">
        <f t="shared" si="21"/>
        <v>426</v>
      </c>
      <c r="AG193" s="2">
        <f t="shared" si="22"/>
        <v>279.5</v>
      </c>
      <c r="AH193" s="2">
        <f t="shared" si="23"/>
        <v>136.5</v>
      </c>
      <c r="AI193" s="2">
        <f t="shared" si="24"/>
        <v>947.19999999999993</v>
      </c>
      <c r="AJ193" s="2">
        <f t="shared" si="25"/>
        <v>135.16153846153847</v>
      </c>
      <c r="AK193" s="2">
        <f t="shared" si="26"/>
        <v>142</v>
      </c>
      <c r="AL193" s="2">
        <f t="shared" si="27"/>
        <v>139.75</v>
      </c>
      <c r="AM193" s="2">
        <f t="shared" si="28"/>
        <v>136.5</v>
      </c>
      <c r="AN193" s="2">
        <f t="shared" si="29"/>
        <v>135.31428571428572</v>
      </c>
    </row>
    <row r="194" spans="1:40" x14ac:dyDescent="0.3">
      <c r="A194" t="s">
        <v>30</v>
      </c>
      <c r="B194">
        <v>2018</v>
      </c>
      <c r="C194" t="s">
        <v>37</v>
      </c>
      <c r="D194" s="2">
        <v>137.4</v>
      </c>
      <c r="E194" s="2">
        <v>145.69999999999999</v>
      </c>
      <c r="F194" s="2">
        <v>135.5</v>
      </c>
      <c r="G194" s="2">
        <v>142.9</v>
      </c>
      <c r="H194" s="2">
        <v>123.6</v>
      </c>
      <c r="I194" s="2">
        <v>157.5</v>
      </c>
      <c r="J194" s="2">
        <v>137.80000000000001</v>
      </c>
      <c r="K194" s="2">
        <v>127.2</v>
      </c>
      <c r="L194" s="2">
        <v>111.8</v>
      </c>
      <c r="M194" s="2">
        <v>137.4</v>
      </c>
      <c r="N194" s="2">
        <v>132.19999999999999</v>
      </c>
      <c r="O194" s="2">
        <v>154.30000000000001</v>
      </c>
      <c r="P194" s="2">
        <v>139.1</v>
      </c>
      <c r="Q194" s="2">
        <v>157</v>
      </c>
      <c r="R194" s="2">
        <v>150.80000000000001</v>
      </c>
      <c r="S194" s="2">
        <v>144.1</v>
      </c>
      <c r="T194" s="2">
        <v>149.80000000000001</v>
      </c>
      <c r="U194" s="2">
        <f>AVERAGE(U195,U196)</f>
        <v>143.19999999999999</v>
      </c>
      <c r="V194" s="2">
        <v>144.30000000000001</v>
      </c>
      <c r="W194" s="2">
        <v>141.80000000000001</v>
      </c>
      <c r="X194" s="2">
        <v>138.4</v>
      </c>
      <c r="Y194" s="2">
        <v>126.4</v>
      </c>
      <c r="Z194" s="2">
        <v>136.80000000000001</v>
      </c>
      <c r="AA194" s="2">
        <v>144.4</v>
      </c>
      <c r="AB194" s="2">
        <v>131.19999999999999</v>
      </c>
      <c r="AC194" s="2">
        <v>135.1</v>
      </c>
      <c r="AD194" s="2">
        <v>139.80000000000001</v>
      </c>
      <c r="AE194" s="2">
        <f t="shared" si="20"/>
        <v>1782.4</v>
      </c>
      <c r="AF194" s="2">
        <f t="shared" si="21"/>
        <v>444.7</v>
      </c>
      <c r="AG194" s="2">
        <f t="shared" si="22"/>
        <v>285</v>
      </c>
      <c r="AH194" s="2">
        <f t="shared" si="23"/>
        <v>144.30000000000001</v>
      </c>
      <c r="AI194" s="2">
        <f t="shared" si="24"/>
        <v>969.30000000000007</v>
      </c>
      <c r="AJ194" s="2">
        <f t="shared" si="25"/>
        <v>137.1076923076923</v>
      </c>
      <c r="AK194" s="2">
        <f t="shared" si="26"/>
        <v>148.23333333333332</v>
      </c>
      <c r="AL194" s="2">
        <f t="shared" si="27"/>
        <v>142.5</v>
      </c>
      <c r="AM194" s="2">
        <f t="shared" si="28"/>
        <v>144.30000000000001</v>
      </c>
      <c r="AN194" s="2">
        <f t="shared" si="29"/>
        <v>138.47142857142859</v>
      </c>
    </row>
    <row r="195" spans="1:40" x14ac:dyDescent="0.3">
      <c r="A195" t="s">
        <v>32</v>
      </c>
      <c r="B195">
        <v>2018</v>
      </c>
      <c r="C195" t="s">
        <v>37</v>
      </c>
      <c r="D195" s="2">
        <v>135</v>
      </c>
      <c r="E195" s="2">
        <v>148.19999999999999</v>
      </c>
      <c r="F195" s="2">
        <v>130.5</v>
      </c>
      <c r="G195" s="2">
        <v>140.69999999999999</v>
      </c>
      <c r="H195" s="2">
        <v>116.4</v>
      </c>
      <c r="I195" s="2">
        <v>151.30000000000001</v>
      </c>
      <c r="J195" s="2">
        <v>131.4</v>
      </c>
      <c r="K195" s="2">
        <v>112.8</v>
      </c>
      <c r="L195" s="2">
        <v>105.3</v>
      </c>
      <c r="M195" s="2">
        <v>139.6</v>
      </c>
      <c r="N195" s="2">
        <v>126.6</v>
      </c>
      <c r="O195" s="2">
        <v>148.69999999999999</v>
      </c>
      <c r="P195" s="2">
        <v>136.4</v>
      </c>
      <c r="Q195" s="2">
        <v>160.30000000000001</v>
      </c>
      <c r="R195" s="2">
        <v>138.6</v>
      </c>
      <c r="S195" s="2">
        <v>127.9</v>
      </c>
      <c r="T195" s="2">
        <v>137</v>
      </c>
      <c r="U195" s="2">
        <v>143.19999999999999</v>
      </c>
      <c r="V195" s="2">
        <v>124.7</v>
      </c>
      <c r="W195" s="2">
        <v>132.5</v>
      </c>
      <c r="X195" s="2">
        <v>132</v>
      </c>
      <c r="Y195" s="2">
        <v>119.8</v>
      </c>
      <c r="Z195" s="2">
        <v>128</v>
      </c>
      <c r="AA195" s="2">
        <v>140.4</v>
      </c>
      <c r="AB195" s="2">
        <v>128.1</v>
      </c>
      <c r="AC195" s="2">
        <v>128.9</v>
      </c>
      <c r="AD195" s="2">
        <v>135.4</v>
      </c>
      <c r="AE195" s="2">
        <f t="shared" ref="AE195:AE258" si="30">SUM(D195:P195)</f>
        <v>1722.8999999999999</v>
      </c>
      <c r="AF195" s="2">
        <f t="shared" ref="AF195:AF258" si="31">SUM(R195:T195)</f>
        <v>403.5</v>
      </c>
      <c r="AG195" s="2">
        <f t="shared" ref="AG195:AG258" si="32">SUM(U195,W195)</f>
        <v>275.7</v>
      </c>
      <c r="AH195" s="2">
        <f t="shared" ref="AH195:AH258" si="33">SUM(V195)</f>
        <v>124.7</v>
      </c>
      <c r="AI195" s="2">
        <f t="shared" ref="AI195:AI258" si="34">SUM(X195:AC195,Q195)</f>
        <v>937.5</v>
      </c>
      <c r="AJ195" s="2">
        <f t="shared" ref="AJ195:AJ258" si="35">AVERAGE(D195:P195)</f>
        <v>132.53076923076921</v>
      </c>
      <c r="AK195" s="2">
        <f t="shared" ref="AK195:AK258" si="36">AVERAGE(R195:T195)</f>
        <v>134.5</v>
      </c>
      <c r="AL195" s="2">
        <f t="shared" ref="AL195:AL258" si="37">AVERAGE(U195,W195)</f>
        <v>137.85</v>
      </c>
      <c r="AM195" s="2">
        <f t="shared" ref="AM195:AM258" si="38">AVERAGE(V195)</f>
        <v>124.7</v>
      </c>
      <c r="AN195" s="2">
        <f t="shared" ref="AN195:AN258" si="39">AVERAGE(X195:AC195,Q195)</f>
        <v>133.92857142857142</v>
      </c>
    </row>
    <row r="196" spans="1:40" x14ac:dyDescent="0.3">
      <c r="A196" t="s">
        <v>33</v>
      </c>
      <c r="B196">
        <v>2018</v>
      </c>
      <c r="C196" t="s">
        <v>37</v>
      </c>
      <c r="D196" s="2">
        <v>136.6</v>
      </c>
      <c r="E196" s="2">
        <v>146.6</v>
      </c>
      <c r="F196" s="2">
        <v>133.6</v>
      </c>
      <c r="G196" s="2">
        <v>142.1</v>
      </c>
      <c r="H196" s="2">
        <v>121</v>
      </c>
      <c r="I196" s="2">
        <v>154.6</v>
      </c>
      <c r="J196" s="2">
        <v>135.6</v>
      </c>
      <c r="K196" s="2">
        <v>122.3</v>
      </c>
      <c r="L196" s="2">
        <v>109.6</v>
      </c>
      <c r="M196" s="2">
        <v>138.1</v>
      </c>
      <c r="N196" s="2">
        <v>129.9</v>
      </c>
      <c r="O196" s="2">
        <v>151.69999999999999</v>
      </c>
      <c r="P196" s="2">
        <v>138.1</v>
      </c>
      <c r="Q196" s="2">
        <v>157.9</v>
      </c>
      <c r="R196" s="2">
        <v>146</v>
      </c>
      <c r="S196" s="2">
        <v>137.4</v>
      </c>
      <c r="T196" s="2">
        <v>144.69999999999999</v>
      </c>
      <c r="U196" s="2">
        <v>143.19999999999999</v>
      </c>
      <c r="V196" s="2">
        <v>136.9</v>
      </c>
      <c r="W196" s="2">
        <v>137.4</v>
      </c>
      <c r="X196" s="2">
        <v>136</v>
      </c>
      <c r="Y196" s="2">
        <v>122.9</v>
      </c>
      <c r="Z196" s="2">
        <v>131.80000000000001</v>
      </c>
      <c r="AA196" s="2">
        <v>142.1</v>
      </c>
      <c r="AB196" s="2">
        <v>129.9</v>
      </c>
      <c r="AC196" s="2">
        <v>132.1</v>
      </c>
      <c r="AD196" s="2">
        <v>137.80000000000001</v>
      </c>
      <c r="AE196" s="2">
        <f t="shared" si="30"/>
        <v>1759.8</v>
      </c>
      <c r="AF196" s="2">
        <f t="shared" si="31"/>
        <v>428.09999999999997</v>
      </c>
      <c r="AG196" s="2">
        <f t="shared" si="32"/>
        <v>280.60000000000002</v>
      </c>
      <c r="AH196" s="2">
        <f t="shared" si="33"/>
        <v>136.9</v>
      </c>
      <c r="AI196" s="2">
        <f t="shared" si="34"/>
        <v>952.69999999999993</v>
      </c>
      <c r="AJ196" s="2">
        <f t="shared" si="35"/>
        <v>135.36923076923077</v>
      </c>
      <c r="AK196" s="2">
        <f t="shared" si="36"/>
        <v>142.69999999999999</v>
      </c>
      <c r="AL196" s="2">
        <f t="shared" si="37"/>
        <v>140.30000000000001</v>
      </c>
      <c r="AM196" s="2">
        <f t="shared" si="38"/>
        <v>136.9</v>
      </c>
      <c r="AN196" s="2">
        <f t="shared" si="39"/>
        <v>136.1</v>
      </c>
    </row>
    <row r="197" spans="1:40" x14ac:dyDescent="0.3">
      <c r="A197" t="s">
        <v>30</v>
      </c>
      <c r="B197">
        <v>2018</v>
      </c>
      <c r="C197" t="s">
        <v>38</v>
      </c>
      <c r="D197" s="2">
        <v>137.6</v>
      </c>
      <c r="E197" s="2">
        <v>148.1</v>
      </c>
      <c r="F197" s="2">
        <v>136.69999999999999</v>
      </c>
      <c r="G197" s="2">
        <v>143.19999999999999</v>
      </c>
      <c r="H197" s="2">
        <v>124</v>
      </c>
      <c r="I197" s="2">
        <v>154.1</v>
      </c>
      <c r="J197" s="2">
        <v>143.5</v>
      </c>
      <c r="K197" s="2">
        <v>126</v>
      </c>
      <c r="L197" s="2">
        <v>112.4</v>
      </c>
      <c r="M197" s="2">
        <v>137.6</v>
      </c>
      <c r="N197" s="2">
        <v>132.80000000000001</v>
      </c>
      <c r="O197" s="2">
        <v>154.30000000000001</v>
      </c>
      <c r="P197" s="2">
        <v>140</v>
      </c>
      <c r="Q197" s="2">
        <v>157.30000000000001</v>
      </c>
      <c r="R197" s="2">
        <v>151.30000000000001</v>
      </c>
      <c r="S197" s="2">
        <v>144.69999999999999</v>
      </c>
      <c r="T197" s="2">
        <v>150.30000000000001</v>
      </c>
      <c r="U197" s="2">
        <f>AVERAGE(U198,U199)</f>
        <v>142.5</v>
      </c>
      <c r="V197" s="2">
        <v>145.1</v>
      </c>
      <c r="W197" s="2">
        <v>142.19999999999999</v>
      </c>
      <c r="X197" s="2">
        <v>138.4</v>
      </c>
      <c r="Y197" s="2">
        <v>127.4</v>
      </c>
      <c r="Z197" s="2">
        <v>137.80000000000001</v>
      </c>
      <c r="AA197" s="2">
        <v>145.1</v>
      </c>
      <c r="AB197" s="2">
        <v>131.4</v>
      </c>
      <c r="AC197" s="2">
        <v>135.6</v>
      </c>
      <c r="AD197" s="2">
        <v>140.5</v>
      </c>
      <c r="AE197" s="2">
        <f t="shared" si="30"/>
        <v>1790.2999999999997</v>
      </c>
      <c r="AF197" s="2">
        <f t="shared" si="31"/>
        <v>446.3</v>
      </c>
      <c r="AG197" s="2">
        <f t="shared" si="32"/>
        <v>284.7</v>
      </c>
      <c r="AH197" s="2">
        <f t="shared" si="33"/>
        <v>145.1</v>
      </c>
      <c r="AI197" s="2">
        <f t="shared" si="34"/>
        <v>973</v>
      </c>
      <c r="AJ197" s="2">
        <f t="shared" si="35"/>
        <v>137.71538461538461</v>
      </c>
      <c r="AK197" s="2">
        <f t="shared" si="36"/>
        <v>148.76666666666668</v>
      </c>
      <c r="AL197" s="2">
        <f t="shared" si="37"/>
        <v>142.35</v>
      </c>
      <c r="AM197" s="2">
        <f t="shared" si="38"/>
        <v>145.1</v>
      </c>
      <c r="AN197" s="2">
        <f t="shared" si="39"/>
        <v>139</v>
      </c>
    </row>
    <row r="198" spans="1:40" x14ac:dyDescent="0.3">
      <c r="A198" t="s">
        <v>32</v>
      </c>
      <c r="B198">
        <v>2018</v>
      </c>
      <c r="C198" t="s">
        <v>38</v>
      </c>
      <c r="D198" s="2">
        <v>135.30000000000001</v>
      </c>
      <c r="E198" s="2">
        <v>149.69999999999999</v>
      </c>
      <c r="F198" s="2">
        <v>133.9</v>
      </c>
      <c r="G198" s="2">
        <v>140.80000000000001</v>
      </c>
      <c r="H198" s="2">
        <v>116.6</v>
      </c>
      <c r="I198" s="2">
        <v>152.19999999999999</v>
      </c>
      <c r="J198" s="2">
        <v>144</v>
      </c>
      <c r="K198" s="2">
        <v>112.3</v>
      </c>
      <c r="L198" s="2">
        <v>108.4</v>
      </c>
      <c r="M198" s="2">
        <v>140</v>
      </c>
      <c r="N198" s="2">
        <v>126.7</v>
      </c>
      <c r="O198" s="2">
        <v>149</v>
      </c>
      <c r="P198" s="2">
        <v>138.4</v>
      </c>
      <c r="Q198" s="2">
        <v>161</v>
      </c>
      <c r="R198" s="2">
        <v>138.9</v>
      </c>
      <c r="S198" s="2">
        <v>128.69999999999999</v>
      </c>
      <c r="T198" s="2">
        <v>137.4</v>
      </c>
      <c r="U198" s="2">
        <v>142.5</v>
      </c>
      <c r="V198" s="2">
        <v>126.5</v>
      </c>
      <c r="W198" s="2">
        <v>133.1</v>
      </c>
      <c r="X198" s="2">
        <v>132.6</v>
      </c>
      <c r="Y198" s="2">
        <v>120.4</v>
      </c>
      <c r="Z198" s="2">
        <v>128.5</v>
      </c>
      <c r="AA198" s="2">
        <v>141.19999999999999</v>
      </c>
      <c r="AB198" s="2">
        <v>128.19999999999999</v>
      </c>
      <c r="AC198" s="2">
        <v>129.5</v>
      </c>
      <c r="AD198" s="2">
        <v>136.19999999999999</v>
      </c>
      <c r="AE198" s="2">
        <f t="shared" si="30"/>
        <v>1747.3000000000002</v>
      </c>
      <c r="AF198" s="2">
        <f t="shared" si="31"/>
        <v>405</v>
      </c>
      <c r="AG198" s="2">
        <f t="shared" si="32"/>
        <v>275.60000000000002</v>
      </c>
      <c r="AH198" s="2">
        <f t="shared" si="33"/>
        <v>126.5</v>
      </c>
      <c r="AI198" s="2">
        <f t="shared" si="34"/>
        <v>941.40000000000009</v>
      </c>
      <c r="AJ198" s="2">
        <f t="shared" si="35"/>
        <v>134.40769230769232</v>
      </c>
      <c r="AK198" s="2">
        <f t="shared" si="36"/>
        <v>135</v>
      </c>
      <c r="AL198" s="2">
        <f t="shared" si="37"/>
        <v>137.80000000000001</v>
      </c>
      <c r="AM198" s="2">
        <f t="shared" si="38"/>
        <v>126.5</v>
      </c>
      <c r="AN198" s="2">
        <f t="shared" si="39"/>
        <v>134.48571428571429</v>
      </c>
    </row>
    <row r="199" spans="1:40" x14ac:dyDescent="0.3">
      <c r="A199" t="s">
        <v>33</v>
      </c>
      <c r="B199">
        <v>2018</v>
      </c>
      <c r="C199" t="s">
        <v>38</v>
      </c>
      <c r="D199" s="2">
        <v>136.9</v>
      </c>
      <c r="E199" s="2">
        <v>148.69999999999999</v>
      </c>
      <c r="F199" s="2">
        <v>135.6</v>
      </c>
      <c r="G199" s="2">
        <v>142.30000000000001</v>
      </c>
      <c r="H199" s="2">
        <v>121.3</v>
      </c>
      <c r="I199" s="2">
        <v>153.19999999999999</v>
      </c>
      <c r="J199" s="2">
        <v>143.69999999999999</v>
      </c>
      <c r="K199" s="2">
        <v>121.4</v>
      </c>
      <c r="L199" s="2">
        <v>111.1</v>
      </c>
      <c r="M199" s="2">
        <v>138.4</v>
      </c>
      <c r="N199" s="2">
        <v>130.30000000000001</v>
      </c>
      <c r="O199" s="2">
        <v>151.80000000000001</v>
      </c>
      <c r="P199" s="2">
        <v>139.4</v>
      </c>
      <c r="Q199" s="2">
        <v>158.30000000000001</v>
      </c>
      <c r="R199" s="2">
        <v>146.4</v>
      </c>
      <c r="S199" s="2">
        <v>138.1</v>
      </c>
      <c r="T199" s="2">
        <v>145.19999999999999</v>
      </c>
      <c r="U199" s="2">
        <v>142.5</v>
      </c>
      <c r="V199" s="2">
        <v>138.1</v>
      </c>
      <c r="W199" s="2">
        <v>137.9</v>
      </c>
      <c r="X199" s="2">
        <v>136.19999999999999</v>
      </c>
      <c r="Y199" s="2">
        <v>123.7</v>
      </c>
      <c r="Z199" s="2">
        <v>132.6</v>
      </c>
      <c r="AA199" s="2">
        <v>142.80000000000001</v>
      </c>
      <c r="AB199" s="2">
        <v>130.1</v>
      </c>
      <c r="AC199" s="2">
        <v>132.6</v>
      </c>
      <c r="AD199" s="2">
        <v>138.5</v>
      </c>
      <c r="AE199" s="2">
        <f t="shared" si="30"/>
        <v>1774.1000000000001</v>
      </c>
      <c r="AF199" s="2">
        <f t="shared" si="31"/>
        <v>429.7</v>
      </c>
      <c r="AG199" s="2">
        <f t="shared" si="32"/>
        <v>280.39999999999998</v>
      </c>
      <c r="AH199" s="2">
        <f t="shared" si="33"/>
        <v>138.1</v>
      </c>
      <c r="AI199" s="2">
        <f t="shared" si="34"/>
        <v>956.3</v>
      </c>
      <c r="AJ199" s="2">
        <f t="shared" si="35"/>
        <v>136.46923076923079</v>
      </c>
      <c r="AK199" s="2">
        <f t="shared" si="36"/>
        <v>143.23333333333332</v>
      </c>
      <c r="AL199" s="2">
        <f t="shared" si="37"/>
        <v>140.19999999999999</v>
      </c>
      <c r="AM199" s="2">
        <f t="shared" si="38"/>
        <v>138.1</v>
      </c>
      <c r="AN199" s="2">
        <f t="shared" si="39"/>
        <v>136.6142857142857</v>
      </c>
    </row>
    <row r="200" spans="1:40" x14ac:dyDescent="0.3">
      <c r="A200" t="s">
        <v>30</v>
      </c>
      <c r="B200">
        <v>2018</v>
      </c>
      <c r="C200" t="s">
        <v>39</v>
      </c>
      <c r="D200" s="2">
        <v>138.4</v>
      </c>
      <c r="E200" s="2">
        <v>149.30000000000001</v>
      </c>
      <c r="F200" s="2">
        <v>139.30000000000001</v>
      </c>
      <c r="G200" s="2">
        <v>143.4</v>
      </c>
      <c r="H200" s="2">
        <v>124.1</v>
      </c>
      <c r="I200" s="2">
        <v>153.30000000000001</v>
      </c>
      <c r="J200" s="2">
        <v>154.19999999999999</v>
      </c>
      <c r="K200" s="2">
        <v>126.4</v>
      </c>
      <c r="L200" s="2">
        <v>114.3</v>
      </c>
      <c r="M200" s="2">
        <v>138.19999999999999</v>
      </c>
      <c r="N200" s="2">
        <v>132.80000000000001</v>
      </c>
      <c r="O200" s="2">
        <v>154.80000000000001</v>
      </c>
      <c r="P200" s="2">
        <v>142</v>
      </c>
      <c r="Q200" s="2">
        <v>156.1</v>
      </c>
      <c r="R200" s="2">
        <v>151.5</v>
      </c>
      <c r="S200" s="2">
        <v>145.1</v>
      </c>
      <c r="T200" s="2">
        <v>150.6</v>
      </c>
      <c r="U200" s="2">
        <f>AVERAGE(U201,U202)</f>
        <v>143.6</v>
      </c>
      <c r="V200" s="2">
        <v>146.80000000000001</v>
      </c>
      <c r="W200" s="2">
        <v>143.1</v>
      </c>
      <c r="X200" s="2">
        <v>139</v>
      </c>
      <c r="Y200" s="2">
        <v>127.5</v>
      </c>
      <c r="Z200" s="2">
        <v>138.4</v>
      </c>
      <c r="AA200" s="2">
        <v>145.80000000000001</v>
      </c>
      <c r="AB200" s="2">
        <v>131.4</v>
      </c>
      <c r="AC200" s="2">
        <v>136</v>
      </c>
      <c r="AD200" s="2">
        <v>141.80000000000001</v>
      </c>
      <c r="AE200" s="2">
        <f t="shared" si="30"/>
        <v>1810.5000000000002</v>
      </c>
      <c r="AF200" s="2">
        <f t="shared" si="31"/>
        <v>447.20000000000005</v>
      </c>
      <c r="AG200" s="2">
        <f t="shared" si="32"/>
        <v>286.7</v>
      </c>
      <c r="AH200" s="2">
        <f t="shared" si="33"/>
        <v>146.80000000000001</v>
      </c>
      <c r="AI200" s="2">
        <f t="shared" si="34"/>
        <v>974.2</v>
      </c>
      <c r="AJ200" s="2">
        <f t="shared" si="35"/>
        <v>139.26923076923077</v>
      </c>
      <c r="AK200" s="2">
        <f t="shared" si="36"/>
        <v>149.06666666666669</v>
      </c>
      <c r="AL200" s="2">
        <f t="shared" si="37"/>
        <v>143.35</v>
      </c>
      <c r="AM200" s="2">
        <f t="shared" si="38"/>
        <v>146.80000000000001</v>
      </c>
      <c r="AN200" s="2">
        <f t="shared" si="39"/>
        <v>139.17142857142858</v>
      </c>
    </row>
    <row r="201" spans="1:40" x14ac:dyDescent="0.3">
      <c r="A201" t="s">
        <v>32</v>
      </c>
      <c r="B201">
        <v>2018</v>
      </c>
      <c r="C201" t="s">
        <v>39</v>
      </c>
      <c r="D201" s="2">
        <v>135.6</v>
      </c>
      <c r="E201" s="2">
        <v>148.6</v>
      </c>
      <c r="F201" s="2">
        <v>139.1</v>
      </c>
      <c r="G201" s="2">
        <v>141</v>
      </c>
      <c r="H201" s="2">
        <v>116.7</v>
      </c>
      <c r="I201" s="2">
        <v>149.69999999999999</v>
      </c>
      <c r="J201" s="2">
        <v>159.19999999999999</v>
      </c>
      <c r="K201" s="2">
        <v>112.6</v>
      </c>
      <c r="L201" s="2">
        <v>111.8</v>
      </c>
      <c r="M201" s="2">
        <v>140.30000000000001</v>
      </c>
      <c r="N201" s="2">
        <v>126.8</v>
      </c>
      <c r="O201" s="2">
        <v>149.4</v>
      </c>
      <c r="P201" s="2">
        <v>140.30000000000001</v>
      </c>
      <c r="Q201" s="2">
        <v>161.4</v>
      </c>
      <c r="R201" s="2">
        <v>139.6</v>
      </c>
      <c r="S201" s="2">
        <v>128.9</v>
      </c>
      <c r="T201" s="2">
        <v>137.9</v>
      </c>
      <c r="U201" s="2">
        <v>143.6</v>
      </c>
      <c r="V201" s="2">
        <v>128.1</v>
      </c>
      <c r="W201" s="2">
        <v>133.6</v>
      </c>
      <c r="X201" s="2">
        <v>133.6</v>
      </c>
      <c r="Y201" s="2">
        <v>120.1</v>
      </c>
      <c r="Z201" s="2">
        <v>129</v>
      </c>
      <c r="AA201" s="2">
        <v>144</v>
      </c>
      <c r="AB201" s="2">
        <v>128.19999999999999</v>
      </c>
      <c r="AC201" s="2">
        <v>130.19999999999999</v>
      </c>
      <c r="AD201" s="2">
        <v>137.5</v>
      </c>
      <c r="AE201" s="2">
        <f t="shared" si="30"/>
        <v>1771.1</v>
      </c>
      <c r="AF201" s="2">
        <f t="shared" si="31"/>
        <v>406.4</v>
      </c>
      <c r="AG201" s="2">
        <f t="shared" si="32"/>
        <v>277.2</v>
      </c>
      <c r="AH201" s="2">
        <f t="shared" si="33"/>
        <v>128.1</v>
      </c>
      <c r="AI201" s="2">
        <f t="shared" si="34"/>
        <v>946.50000000000011</v>
      </c>
      <c r="AJ201" s="2">
        <f t="shared" si="35"/>
        <v>136.23846153846154</v>
      </c>
      <c r="AK201" s="2">
        <f t="shared" si="36"/>
        <v>135.46666666666667</v>
      </c>
      <c r="AL201" s="2">
        <f t="shared" si="37"/>
        <v>138.6</v>
      </c>
      <c r="AM201" s="2">
        <f t="shared" si="38"/>
        <v>128.1</v>
      </c>
      <c r="AN201" s="2">
        <f t="shared" si="39"/>
        <v>135.21428571428572</v>
      </c>
    </row>
    <row r="202" spans="1:40" x14ac:dyDescent="0.3">
      <c r="A202" t="s">
        <v>33</v>
      </c>
      <c r="B202">
        <v>2018</v>
      </c>
      <c r="C202" t="s">
        <v>39</v>
      </c>
      <c r="D202" s="2">
        <v>137.5</v>
      </c>
      <c r="E202" s="2">
        <v>149.1</v>
      </c>
      <c r="F202" s="2">
        <v>139.19999999999999</v>
      </c>
      <c r="G202" s="2">
        <v>142.5</v>
      </c>
      <c r="H202" s="2">
        <v>121.4</v>
      </c>
      <c r="I202" s="2">
        <v>151.6</v>
      </c>
      <c r="J202" s="2">
        <v>155.9</v>
      </c>
      <c r="K202" s="2">
        <v>121.7</v>
      </c>
      <c r="L202" s="2">
        <v>113.5</v>
      </c>
      <c r="M202" s="2">
        <v>138.9</v>
      </c>
      <c r="N202" s="2">
        <v>130.30000000000001</v>
      </c>
      <c r="O202" s="2">
        <v>152.30000000000001</v>
      </c>
      <c r="P202" s="2">
        <v>141.4</v>
      </c>
      <c r="Q202" s="2">
        <v>157.5</v>
      </c>
      <c r="R202" s="2">
        <v>146.80000000000001</v>
      </c>
      <c r="S202" s="2">
        <v>138.4</v>
      </c>
      <c r="T202" s="2">
        <v>145.6</v>
      </c>
      <c r="U202" s="2">
        <v>143.6</v>
      </c>
      <c r="V202" s="2">
        <v>139.69999999999999</v>
      </c>
      <c r="W202" s="2">
        <v>138.6</v>
      </c>
      <c r="X202" s="2">
        <v>137</v>
      </c>
      <c r="Y202" s="2">
        <v>123.6</v>
      </c>
      <c r="Z202" s="2">
        <v>133.1</v>
      </c>
      <c r="AA202" s="2">
        <v>144.69999999999999</v>
      </c>
      <c r="AB202" s="2">
        <v>130.1</v>
      </c>
      <c r="AC202" s="2">
        <v>133.19999999999999</v>
      </c>
      <c r="AD202" s="2">
        <v>139.80000000000001</v>
      </c>
      <c r="AE202" s="2">
        <f t="shared" si="30"/>
        <v>1795.3</v>
      </c>
      <c r="AF202" s="2">
        <f t="shared" si="31"/>
        <v>430.80000000000007</v>
      </c>
      <c r="AG202" s="2">
        <f t="shared" si="32"/>
        <v>282.2</v>
      </c>
      <c r="AH202" s="2">
        <f t="shared" si="33"/>
        <v>139.69999999999999</v>
      </c>
      <c r="AI202" s="2">
        <f t="shared" si="34"/>
        <v>959.2</v>
      </c>
      <c r="AJ202" s="2">
        <f t="shared" si="35"/>
        <v>138.1</v>
      </c>
      <c r="AK202" s="2">
        <f t="shared" si="36"/>
        <v>143.60000000000002</v>
      </c>
      <c r="AL202" s="2">
        <f t="shared" si="37"/>
        <v>141.1</v>
      </c>
      <c r="AM202" s="2">
        <f t="shared" si="38"/>
        <v>139.69999999999999</v>
      </c>
      <c r="AN202" s="2">
        <f t="shared" si="39"/>
        <v>137.02857142857144</v>
      </c>
    </row>
    <row r="203" spans="1:40" x14ac:dyDescent="0.3">
      <c r="A203" t="s">
        <v>30</v>
      </c>
      <c r="B203">
        <v>2018</v>
      </c>
      <c r="C203" t="s">
        <v>40</v>
      </c>
      <c r="D203" s="2">
        <v>139.19999999999999</v>
      </c>
      <c r="E203" s="2">
        <v>148.80000000000001</v>
      </c>
      <c r="F203" s="2">
        <v>139.1</v>
      </c>
      <c r="G203" s="2">
        <v>143.5</v>
      </c>
      <c r="H203" s="2">
        <v>125</v>
      </c>
      <c r="I203" s="2">
        <v>154.4</v>
      </c>
      <c r="J203" s="2">
        <v>156.30000000000001</v>
      </c>
      <c r="K203" s="2">
        <v>126.8</v>
      </c>
      <c r="L203" s="2">
        <v>115.4</v>
      </c>
      <c r="M203" s="2">
        <v>138.6</v>
      </c>
      <c r="N203" s="2">
        <v>133.80000000000001</v>
      </c>
      <c r="O203" s="2">
        <v>155.19999999999999</v>
      </c>
      <c r="P203" s="2">
        <v>142.69999999999999</v>
      </c>
      <c r="Q203" s="2">
        <v>156.4</v>
      </c>
      <c r="R203" s="2">
        <v>152.1</v>
      </c>
      <c r="S203" s="2">
        <v>145.80000000000001</v>
      </c>
      <c r="T203" s="2">
        <v>151.30000000000001</v>
      </c>
      <c r="U203" s="2">
        <f>AVERAGE(U204,U205)</f>
        <v>144.6</v>
      </c>
      <c r="V203" s="2">
        <v>147.69999999999999</v>
      </c>
      <c r="W203" s="2">
        <v>143.80000000000001</v>
      </c>
      <c r="X203" s="2">
        <v>139.4</v>
      </c>
      <c r="Y203" s="2">
        <v>128.30000000000001</v>
      </c>
      <c r="Z203" s="2">
        <v>138.6</v>
      </c>
      <c r="AA203" s="2">
        <v>146.9</v>
      </c>
      <c r="AB203" s="2">
        <v>131.30000000000001</v>
      </c>
      <c r="AC203" s="2">
        <v>136.6</v>
      </c>
      <c r="AD203" s="2">
        <v>142.5</v>
      </c>
      <c r="AE203" s="2">
        <f t="shared" si="30"/>
        <v>1818.8</v>
      </c>
      <c r="AF203" s="2">
        <f t="shared" si="31"/>
        <v>449.2</v>
      </c>
      <c r="AG203" s="2">
        <f t="shared" si="32"/>
        <v>288.39999999999998</v>
      </c>
      <c r="AH203" s="2">
        <f t="shared" si="33"/>
        <v>147.69999999999999</v>
      </c>
      <c r="AI203" s="2">
        <f t="shared" si="34"/>
        <v>977.5</v>
      </c>
      <c r="AJ203" s="2">
        <f t="shared" si="35"/>
        <v>139.90769230769232</v>
      </c>
      <c r="AK203" s="2">
        <f t="shared" si="36"/>
        <v>149.73333333333332</v>
      </c>
      <c r="AL203" s="2">
        <f t="shared" si="37"/>
        <v>144.19999999999999</v>
      </c>
      <c r="AM203" s="2">
        <f t="shared" si="38"/>
        <v>147.69999999999999</v>
      </c>
      <c r="AN203" s="2">
        <f t="shared" si="39"/>
        <v>139.64285714285714</v>
      </c>
    </row>
    <row r="204" spans="1:40" x14ac:dyDescent="0.3">
      <c r="A204" t="s">
        <v>32</v>
      </c>
      <c r="B204">
        <v>2018</v>
      </c>
      <c r="C204" t="s">
        <v>40</v>
      </c>
      <c r="D204" s="2">
        <v>136.5</v>
      </c>
      <c r="E204" s="2">
        <v>146.4</v>
      </c>
      <c r="F204" s="2">
        <v>136.6</v>
      </c>
      <c r="G204" s="2">
        <v>141.19999999999999</v>
      </c>
      <c r="H204" s="2">
        <v>117.4</v>
      </c>
      <c r="I204" s="2">
        <v>146.30000000000001</v>
      </c>
      <c r="J204" s="2">
        <v>157.30000000000001</v>
      </c>
      <c r="K204" s="2">
        <v>113.6</v>
      </c>
      <c r="L204" s="2">
        <v>113.3</v>
      </c>
      <c r="M204" s="2">
        <v>141.1</v>
      </c>
      <c r="N204" s="2">
        <v>127.4</v>
      </c>
      <c r="O204" s="2">
        <v>150.4</v>
      </c>
      <c r="P204" s="2">
        <v>140.1</v>
      </c>
      <c r="Q204" s="2">
        <v>162.1</v>
      </c>
      <c r="R204" s="2">
        <v>140</v>
      </c>
      <c r="S204" s="2">
        <v>129</v>
      </c>
      <c r="T204" s="2">
        <v>138.30000000000001</v>
      </c>
      <c r="U204" s="2">
        <v>144.6</v>
      </c>
      <c r="V204" s="2">
        <v>129.80000000000001</v>
      </c>
      <c r="W204" s="2">
        <v>134.4</v>
      </c>
      <c r="X204" s="2">
        <v>134.9</v>
      </c>
      <c r="Y204" s="2">
        <v>120.7</v>
      </c>
      <c r="Z204" s="2">
        <v>129.80000000000001</v>
      </c>
      <c r="AA204" s="2">
        <v>145.30000000000001</v>
      </c>
      <c r="AB204" s="2">
        <v>128.30000000000001</v>
      </c>
      <c r="AC204" s="2">
        <v>131</v>
      </c>
      <c r="AD204" s="2">
        <v>138</v>
      </c>
      <c r="AE204" s="2">
        <f t="shared" si="30"/>
        <v>1767.6</v>
      </c>
      <c r="AF204" s="2">
        <f t="shared" si="31"/>
        <v>407.3</v>
      </c>
      <c r="AG204" s="2">
        <f t="shared" si="32"/>
        <v>279</v>
      </c>
      <c r="AH204" s="2">
        <f t="shared" si="33"/>
        <v>129.80000000000001</v>
      </c>
      <c r="AI204" s="2">
        <f t="shared" si="34"/>
        <v>952.1</v>
      </c>
      <c r="AJ204" s="2">
        <f t="shared" si="35"/>
        <v>135.96923076923076</v>
      </c>
      <c r="AK204" s="2">
        <f t="shared" si="36"/>
        <v>135.76666666666668</v>
      </c>
      <c r="AL204" s="2">
        <f t="shared" si="37"/>
        <v>139.5</v>
      </c>
      <c r="AM204" s="2">
        <f t="shared" si="38"/>
        <v>129.80000000000001</v>
      </c>
      <c r="AN204" s="2">
        <f t="shared" si="39"/>
        <v>136.01428571428571</v>
      </c>
    </row>
    <row r="205" spans="1:40" x14ac:dyDescent="0.3">
      <c r="A205" t="s">
        <v>33</v>
      </c>
      <c r="B205">
        <v>2018</v>
      </c>
      <c r="C205" t="s">
        <v>40</v>
      </c>
      <c r="D205" s="2">
        <v>138.30000000000001</v>
      </c>
      <c r="E205" s="2">
        <v>148</v>
      </c>
      <c r="F205" s="2">
        <v>138.1</v>
      </c>
      <c r="G205" s="2">
        <v>142.6</v>
      </c>
      <c r="H205" s="2">
        <v>122.2</v>
      </c>
      <c r="I205" s="2">
        <v>150.6</v>
      </c>
      <c r="J205" s="2">
        <v>156.6</v>
      </c>
      <c r="K205" s="2">
        <v>122.4</v>
      </c>
      <c r="L205" s="2">
        <v>114.7</v>
      </c>
      <c r="M205" s="2">
        <v>139.4</v>
      </c>
      <c r="N205" s="2">
        <v>131.1</v>
      </c>
      <c r="O205" s="2">
        <v>153</v>
      </c>
      <c r="P205" s="2">
        <v>141.69999999999999</v>
      </c>
      <c r="Q205" s="2">
        <v>157.9</v>
      </c>
      <c r="R205" s="2">
        <v>147.30000000000001</v>
      </c>
      <c r="S205" s="2">
        <v>138.80000000000001</v>
      </c>
      <c r="T205" s="2">
        <v>146.1</v>
      </c>
      <c r="U205" s="2">
        <v>144.6</v>
      </c>
      <c r="V205" s="2">
        <v>140.9</v>
      </c>
      <c r="W205" s="2">
        <v>139.4</v>
      </c>
      <c r="X205" s="2">
        <v>137.69999999999999</v>
      </c>
      <c r="Y205" s="2">
        <v>124.3</v>
      </c>
      <c r="Z205" s="2">
        <v>133.6</v>
      </c>
      <c r="AA205" s="2">
        <v>146</v>
      </c>
      <c r="AB205" s="2">
        <v>130.1</v>
      </c>
      <c r="AC205" s="2">
        <v>133.9</v>
      </c>
      <c r="AD205" s="2">
        <v>140.4</v>
      </c>
      <c r="AE205" s="2">
        <f t="shared" si="30"/>
        <v>1798.7000000000003</v>
      </c>
      <c r="AF205" s="2">
        <f t="shared" si="31"/>
        <v>432.20000000000005</v>
      </c>
      <c r="AG205" s="2">
        <f t="shared" si="32"/>
        <v>284</v>
      </c>
      <c r="AH205" s="2">
        <f t="shared" si="33"/>
        <v>140.9</v>
      </c>
      <c r="AI205" s="2">
        <f t="shared" si="34"/>
        <v>963.5</v>
      </c>
      <c r="AJ205" s="2">
        <f t="shared" si="35"/>
        <v>138.36153846153849</v>
      </c>
      <c r="AK205" s="2">
        <f t="shared" si="36"/>
        <v>144.06666666666669</v>
      </c>
      <c r="AL205" s="2">
        <f t="shared" si="37"/>
        <v>142</v>
      </c>
      <c r="AM205" s="2">
        <f t="shared" si="38"/>
        <v>140.9</v>
      </c>
      <c r="AN205" s="2">
        <f t="shared" si="39"/>
        <v>137.64285714285714</v>
      </c>
    </row>
    <row r="206" spans="1:40" x14ac:dyDescent="0.3">
      <c r="A206" t="s">
        <v>30</v>
      </c>
      <c r="B206">
        <v>2018</v>
      </c>
      <c r="C206" t="s">
        <v>41</v>
      </c>
      <c r="D206" s="2">
        <v>139.4</v>
      </c>
      <c r="E206" s="2">
        <v>147.19999999999999</v>
      </c>
      <c r="F206" s="2">
        <v>136.6</v>
      </c>
      <c r="G206" s="2">
        <v>143.69999999999999</v>
      </c>
      <c r="H206" s="2">
        <v>124.6</v>
      </c>
      <c r="I206" s="2">
        <v>150.1</v>
      </c>
      <c r="J206" s="2">
        <v>149.4</v>
      </c>
      <c r="K206" s="2">
        <v>125.4</v>
      </c>
      <c r="L206" s="2">
        <v>114.4</v>
      </c>
      <c r="M206" s="2">
        <v>138.69999999999999</v>
      </c>
      <c r="N206" s="2">
        <v>133.1</v>
      </c>
      <c r="O206" s="2">
        <v>155.9</v>
      </c>
      <c r="P206" s="2">
        <v>141.30000000000001</v>
      </c>
      <c r="Q206" s="2">
        <v>157.69999999999999</v>
      </c>
      <c r="R206" s="2">
        <v>152.1</v>
      </c>
      <c r="S206" s="2">
        <v>146.1</v>
      </c>
      <c r="T206" s="2">
        <v>151.30000000000001</v>
      </c>
      <c r="U206" s="2">
        <f>AVERAGE(U207,U208)</f>
        <v>145.30000000000001</v>
      </c>
      <c r="V206" s="2">
        <v>149</v>
      </c>
      <c r="W206" s="2">
        <v>144</v>
      </c>
      <c r="X206" s="2">
        <v>140</v>
      </c>
      <c r="Y206" s="2">
        <v>129.9</v>
      </c>
      <c r="Z206" s="2">
        <v>140</v>
      </c>
      <c r="AA206" s="2">
        <v>147.6</v>
      </c>
      <c r="AB206" s="2">
        <v>132</v>
      </c>
      <c r="AC206" s="2">
        <v>137.4</v>
      </c>
      <c r="AD206" s="2">
        <v>142.1</v>
      </c>
      <c r="AE206" s="2">
        <f t="shared" si="30"/>
        <v>1799.8000000000002</v>
      </c>
      <c r="AF206" s="2">
        <f t="shared" si="31"/>
        <v>449.5</v>
      </c>
      <c r="AG206" s="2">
        <f t="shared" si="32"/>
        <v>289.3</v>
      </c>
      <c r="AH206" s="2">
        <f t="shared" si="33"/>
        <v>149</v>
      </c>
      <c r="AI206" s="2">
        <f t="shared" si="34"/>
        <v>984.59999999999991</v>
      </c>
      <c r="AJ206" s="2">
        <f t="shared" si="35"/>
        <v>138.44615384615386</v>
      </c>
      <c r="AK206" s="2">
        <f t="shared" si="36"/>
        <v>149.83333333333334</v>
      </c>
      <c r="AL206" s="2">
        <f t="shared" si="37"/>
        <v>144.65</v>
      </c>
      <c r="AM206" s="2">
        <f t="shared" si="38"/>
        <v>149</v>
      </c>
      <c r="AN206" s="2">
        <f t="shared" si="39"/>
        <v>140.65714285714284</v>
      </c>
    </row>
    <row r="207" spans="1:40" x14ac:dyDescent="0.3">
      <c r="A207" t="s">
        <v>32</v>
      </c>
      <c r="B207">
        <v>2018</v>
      </c>
      <c r="C207" t="s">
        <v>41</v>
      </c>
      <c r="D207" s="2">
        <v>137</v>
      </c>
      <c r="E207" s="2">
        <v>143.1</v>
      </c>
      <c r="F207" s="2">
        <v>132.80000000000001</v>
      </c>
      <c r="G207" s="2">
        <v>141.5</v>
      </c>
      <c r="H207" s="2">
        <v>117.8</v>
      </c>
      <c r="I207" s="2">
        <v>140</v>
      </c>
      <c r="J207" s="2">
        <v>151.30000000000001</v>
      </c>
      <c r="K207" s="2">
        <v>113.5</v>
      </c>
      <c r="L207" s="2">
        <v>112.3</v>
      </c>
      <c r="M207" s="2">
        <v>141.19999999999999</v>
      </c>
      <c r="N207" s="2">
        <v>127.7</v>
      </c>
      <c r="O207" s="2">
        <v>151.30000000000001</v>
      </c>
      <c r="P207" s="2">
        <v>138.9</v>
      </c>
      <c r="Q207" s="2">
        <v>163.30000000000001</v>
      </c>
      <c r="R207" s="2">
        <v>140.80000000000001</v>
      </c>
      <c r="S207" s="2">
        <v>129.30000000000001</v>
      </c>
      <c r="T207" s="2">
        <v>139.1</v>
      </c>
      <c r="U207" s="2">
        <v>145.30000000000001</v>
      </c>
      <c r="V207" s="2">
        <v>131.19999999999999</v>
      </c>
      <c r="W207" s="2">
        <v>134.9</v>
      </c>
      <c r="X207" s="2">
        <v>135.69999999999999</v>
      </c>
      <c r="Y207" s="2">
        <v>122.5</v>
      </c>
      <c r="Z207" s="2">
        <v>130.19999999999999</v>
      </c>
      <c r="AA207" s="2">
        <v>145.19999999999999</v>
      </c>
      <c r="AB207" s="2">
        <v>129.30000000000001</v>
      </c>
      <c r="AC207" s="2">
        <v>131.9</v>
      </c>
      <c r="AD207" s="2">
        <v>138.1</v>
      </c>
      <c r="AE207" s="2">
        <f t="shared" si="30"/>
        <v>1748.4</v>
      </c>
      <c r="AF207" s="2">
        <f t="shared" si="31"/>
        <v>409.20000000000005</v>
      </c>
      <c r="AG207" s="2">
        <f t="shared" si="32"/>
        <v>280.20000000000005</v>
      </c>
      <c r="AH207" s="2">
        <f t="shared" si="33"/>
        <v>131.19999999999999</v>
      </c>
      <c r="AI207" s="2">
        <f t="shared" si="34"/>
        <v>958.09999999999991</v>
      </c>
      <c r="AJ207" s="2">
        <f t="shared" si="35"/>
        <v>134.49230769230769</v>
      </c>
      <c r="AK207" s="2">
        <f t="shared" si="36"/>
        <v>136.4</v>
      </c>
      <c r="AL207" s="2">
        <f t="shared" si="37"/>
        <v>140.10000000000002</v>
      </c>
      <c r="AM207" s="2">
        <f t="shared" si="38"/>
        <v>131.19999999999999</v>
      </c>
      <c r="AN207" s="2">
        <f t="shared" si="39"/>
        <v>136.87142857142857</v>
      </c>
    </row>
    <row r="208" spans="1:40" x14ac:dyDescent="0.3">
      <c r="A208" t="s">
        <v>33</v>
      </c>
      <c r="B208">
        <v>2018</v>
      </c>
      <c r="C208" t="s">
        <v>41</v>
      </c>
      <c r="D208" s="2">
        <v>138.6</v>
      </c>
      <c r="E208" s="2">
        <v>145.80000000000001</v>
      </c>
      <c r="F208" s="2">
        <v>135.1</v>
      </c>
      <c r="G208" s="2">
        <v>142.9</v>
      </c>
      <c r="H208" s="2">
        <v>122.1</v>
      </c>
      <c r="I208" s="2">
        <v>145.4</v>
      </c>
      <c r="J208" s="2">
        <v>150</v>
      </c>
      <c r="K208" s="2">
        <v>121.4</v>
      </c>
      <c r="L208" s="2">
        <v>113.7</v>
      </c>
      <c r="M208" s="2">
        <v>139.5</v>
      </c>
      <c r="N208" s="2">
        <v>130.80000000000001</v>
      </c>
      <c r="O208" s="2">
        <v>153.80000000000001</v>
      </c>
      <c r="P208" s="2">
        <v>140.4</v>
      </c>
      <c r="Q208" s="2">
        <v>159.19999999999999</v>
      </c>
      <c r="R208" s="2">
        <v>147.69999999999999</v>
      </c>
      <c r="S208" s="2">
        <v>139.1</v>
      </c>
      <c r="T208" s="2">
        <v>146.5</v>
      </c>
      <c r="U208" s="2">
        <v>145.30000000000001</v>
      </c>
      <c r="V208" s="2">
        <v>142.30000000000001</v>
      </c>
      <c r="W208" s="2">
        <v>139.69999999999999</v>
      </c>
      <c r="X208" s="2">
        <v>138.4</v>
      </c>
      <c r="Y208" s="2">
        <v>126</v>
      </c>
      <c r="Z208" s="2">
        <v>134.5</v>
      </c>
      <c r="AA208" s="2">
        <v>146.19999999999999</v>
      </c>
      <c r="AB208" s="2">
        <v>130.9</v>
      </c>
      <c r="AC208" s="2">
        <v>134.69999999999999</v>
      </c>
      <c r="AD208" s="2">
        <v>140.19999999999999</v>
      </c>
      <c r="AE208" s="2">
        <f t="shared" si="30"/>
        <v>1779.5</v>
      </c>
      <c r="AF208" s="2">
        <f t="shared" si="31"/>
        <v>433.29999999999995</v>
      </c>
      <c r="AG208" s="2">
        <f t="shared" si="32"/>
        <v>285</v>
      </c>
      <c r="AH208" s="2">
        <f t="shared" si="33"/>
        <v>142.30000000000001</v>
      </c>
      <c r="AI208" s="2">
        <f t="shared" si="34"/>
        <v>969.89999999999986</v>
      </c>
      <c r="AJ208" s="2">
        <f t="shared" si="35"/>
        <v>136.88461538461539</v>
      </c>
      <c r="AK208" s="2">
        <f t="shared" si="36"/>
        <v>144.43333333333331</v>
      </c>
      <c r="AL208" s="2">
        <f t="shared" si="37"/>
        <v>142.5</v>
      </c>
      <c r="AM208" s="2">
        <f t="shared" si="38"/>
        <v>142.30000000000001</v>
      </c>
      <c r="AN208" s="2">
        <f t="shared" si="39"/>
        <v>138.55714285714285</v>
      </c>
    </row>
    <row r="209" spans="1:40" x14ac:dyDescent="0.3">
      <c r="A209" t="s">
        <v>30</v>
      </c>
      <c r="B209">
        <v>2018</v>
      </c>
      <c r="C209" t="s">
        <v>42</v>
      </c>
      <c r="D209" s="2">
        <v>139.30000000000001</v>
      </c>
      <c r="E209" s="2">
        <v>147.6</v>
      </c>
      <c r="F209" s="2">
        <v>134.6</v>
      </c>
      <c r="G209" s="2">
        <v>141.9</v>
      </c>
      <c r="H209" s="2">
        <v>123.5</v>
      </c>
      <c r="I209" s="2">
        <v>144.5</v>
      </c>
      <c r="J209" s="2">
        <v>147.6</v>
      </c>
      <c r="K209" s="2">
        <v>121.4</v>
      </c>
      <c r="L209" s="2">
        <v>112.3</v>
      </c>
      <c r="M209" s="2">
        <v>139.5</v>
      </c>
      <c r="N209" s="2">
        <v>134.6</v>
      </c>
      <c r="O209" s="2">
        <v>155.19999999999999</v>
      </c>
      <c r="P209" s="2">
        <v>140.19999999999999</v>
      </c>
      <c r="Q209" s="2">
        <v>159.6</v>
      </c>
      <c r="R209" s="2">
        <v>150.69999999999999</v>
      </c>
      <c r="S209" s="2">
        <v>144.5</v>
      </c>
      <c r="T209" s="2">
        <v>149.80000000000001</v>
      </c>
      <c r="U209" s="2">
        <f>AVERAGE(U210,U211)</f>
        <v>146.60000000000002</v>
      </c>
      <c r="V209" s="2">
        <v>149.69999999999999</v>
      </c>
      <c r="W209" s="2">
        <v>147.5</v>
      </c>
      <c r="X209" s="2">
        <v>144.80000000000001</v>
      </c>
      <c r="Y209" s="2">
        <v>130.80000000000001</v>
      </c>
      <c r="Z209" s="2">
        <v>140.1</v>
      </c>
      <c r="AA209" s="2">
        <v>148</v>
      </c>
      <c r="AB209" s="2">
        <v>134.4</v>
      </c>
      <c r="AC209" s="2">
        <v>139.80000000000001</v>
      </c>
      <c r="AD209" s="2">
        <v>142.19999999999999</v>
      </c>
      <c r="AE209" s="2">
        <f t="shared" si="30"/>
        <v>1782.2</v>
      </c>
      <c r="AF209" s="2">
        <f t="shared" si="31"/>
        <v>445</v>
      </c>
      <c r="AG209" s="2">
        <f t="shared" si="32"/>
        <v>294.10000000000002</v>
      </c>
      <c r="AH209" s="2">
        <f t="shared" si="33"/>
        <v>149.69999999999999</v>
      </c>
      <c r="AI209" s="2">
        <f t="shared" si="34"/>
        <v>997.50000000000011</v>
      </c>
      <c r="AJ209" s="2">
        <f t="shared" si="35"/>
        <v>137.09230769230768</v>
      </c>
      <c r="AK209" s="2">
        <f t="shared" si="36"/>
        <v>148.33333333333334</v>
      </c>
      <c r="AL209" s="2">
        <f t="shared" si="37"/>
        <v>147.05000000000001</v>
      </c>
      <c r="AM209" s="2">
        <f t="shared" si="38"/>
        <v>149.69999999999999</v>
      </c>
      <c r="AN209" s="2">
        <f t="shared" si="39"/>
        <v>142.50000000000003</v>
      </c>
    </row>
    <row r="210" spans="1:40" x14ac:dyDescent="0.3">
      <c r="A210" t="s">
        <v>32</v>
      </c>
      <c r="B210">
        <v>2018</v>
      </c>
      <c r="C210" t="s">
        <v>42</v>
      </c>
      <c r="D210" s="2">
        <v>137.6</v>
      </c>
      <c r="E210" s="2">
        <v>144.9</v>
      </c>
      <c r="F210" s="2">
        <v>133.5</v>
      </c>
      <c r="G210" s="2">
        <v>141.5</v>
      </c>
      <c r="H210" s="2">
        <v>118</v>
      </c>
      <c r="I210" s="2">
        <v>139.5</v>
      </c>
      <c r="J210" s="2">
        <v>153</v>
      </c>
      <c r="K210" s="2">
        <v>113.2</v>
      </c>
      <c r="L210" s="2">
        <v>112.8</v>
      </c>
      <c r="M210" s="2">
        <v>141.1</v>
      </c>
      <c r="N210" s="2">
        <v>127.6</v>
      </c>
      <c r="O210" s="2">
        <v>152</v>
      </c>
      <c r="P210" s="2">
        <v>139.4</v>
      </c>
      <c r="Q210" s="2">
        <v>164</v>
      </c>
      <c r="R210" s="2">
        <v>141.5</v>
      </c>
      <c r="S210" s="2">
        <v>129.80000000000001</v>
      </c>
      <c r="T210" s="2">
        <v>139.69999999999999</v>
      </c>
      <c r="U210" s="2">
        <v>146.30000000000001</v>
      </c>
      <c r="V210" s="2">
        <v>133.4</v>
      </c>
      <c r="W210" s="2">
        <v>135.1</v>
      </c>
      <c r="X210" s="2">
        <v>136.19999999999999</v>
      </c>
      <c r="Y210" s="2">
        <v>123.3</v>
      </c>
      <c r="Z210" s="2">
        <v>130.69999999999999</v>
      </c>
      <c r="AA210" s="2">
        <v>145.5</v>
      </c>
      <c r="AB210" s="2">
        <v>130.4</v>
      </c>
      <c r="AC210" s="2">
        <v>132.5</v>
      </c>
      <c r="AD210" s="2">
        <v>138.9</v>
      </c>
      <c r="AE210" s="2">
        <f t="shared" si="30"/>
        <v>1754.1</v>
      </c>
      <c r="AF210" s="2">
        <f t="shared" si="31"/>
        <v>411</v>
      </c>
      <c r="AG210" s="2">
        <f t="shared" si="32"/>
        <v>281.39999999999998</v>
      </c>
      <c r="AH210" s="2">
        <f t="shared" si="33"/>
        <v>133.4</v>
      </c>
      <c r="AI210" s="2">
        <f t="shared" si="34"/>
        <v>962.6</v>
      </c>
      <c r="AJ210" s="2">
        <f t="shared" si="35"/>
        <v>134.93076923076922</v>
      </c>
      <c r="AK210" s="2">
        <f t="shared" si="36"/>
        <v>137</v>
      </c>
      <c r="AL210" s="2">
        <f t="shared" si="37"/>
        <v>140.69999999999999</v>
      </c>
      <c r="AM210" s="2">
        <f t="shared" si="38"/>
        <v>133.4</v>
      </c>
      <c r="AN210" s="2">
        <f t="shared" si="39"/>
        <v>137.51428571428571</v>
      </c>
    </row>
    <row r="211" spans="1:40" x14ac:dyDescent="0.3">
      <c r="A211" t="s">
        <v>33</v>
      </c>
      <c r="B211">
        <v>2018</v>
      </c>
      <c r="C211" t="s">
        <v>42</v>
      </c>
      <c r="D211" s="2">
        <v>137.4</v>
      </c>
      <c r="E211" s="2">
        <v>149.5</v>
      </c>
      <c r="F211" s="2">
        <v>137.30000000000001</v>
      </c>
      <c r="G211" s="2">
        <v>141.9</v>
      </c>
      <c r="H211" s="2">
        <v>121.1</v>
      </c>
      <c r="I211" s="2">
        <v>142.5</v>
      </c>
      <c r="J211" s="2">
        <v>146.69999999999999</v>
      </c>
      <c r="K211" s="2">
        <v>119.1</v>
      </c>
      <c r="L211" s="2">
        <v>111.9</v>
      </c>
      <c r="M211" s="2">
        <v>141</v>
      </c>
      <c r="N211" s="2">
        <v>133.6</v>
      </c>
      <c r="O211" s="2">
        <v>154.5</v>
      </c>
      <c r="P211" s="2">
        <v>139.69999999999999</v>
      </c>
      <c r="Q211" s="2">
        <v>162.6</v>
      </c>
      <c r="R211" s="2">
        <v>148</v>
      </c>
      <c r="S211" s="2">
        <v>139.19999999999999</v>
      </c>
      <c r="T211" s="2">
        <v>146.80000000000001</v>
      </c>
      <c r="U211" s="2">
        <v>146.9</v>
      </c>
      <c r="V211" s="2">
        <v>145.30000000000001</v>
      </c>
      <c r="W211" s="2">
        <v>142.19999999999999</v>
      </c>
      <c r="X211" s="2">
        <v>142.1</v>
      </c>
      <c r="Y211" s="2">
        <v>125.5</v>
      </c>
      <c r="Z211" s="2">
        <v>136.5</v>
      </c>
      <c r="AA211" s="2">
        <v>147.80000000000001</v>
      </c>
      <c r="AB211" s="2">
        <v>132</v>
      </c>
      <c r="AC211" s="2">
        <v>136.30000000000001</v>
      </c>
      <c r="AD211" s="2">
        <v>140.80000000000001</v>
      </c>
      <c r="AE211" s="2">
        <f t="shared" si="30"/>
        <v>1776.2</v>
      </c>
      <c r="AF211" s="2">
        <f t="shared" si="31"/>
        <v>434</v>
      </c>
      <c r="AG211" s="2">
        <f t="shared" si="32"/>
        <v>289.10000000000002</v>
      </c>
      <c r="AH211" s="2">
        <f t="shared" si="33"/>
        <v>145.30000000000001</v>
      </c>
      <c r="AI211" s="2">
        <f t="shared" si="34"/>
        <v>982.80000000000007</v>
      </c>
      <c r="AJ211" s="2">
        <f t="shared" si="35"/>
        <v>136.63076923076923</v>
      </c>
      <c r="AK211" s="2">
        <f t="shared" si="36"/>
        <v>144.66666666666666</v>
      </c>
      <c r="AL211" s="2">
        <f t="shared" si="37"/>
        <v>144.55000000000001</v>
      </c>
      <c r="AM211" s="2">
        <f t="shared" si="38"/>
        <v>145.30000000000001</v>
      </c>
      <c r="AN211" s="2">
        <f t="shared" si="39"/>
        <v>140.4</v>
      </c>
    </row>
    <row r="212" spans="1:40" x14ac:dyDescent="0.3">
      <c r="A212" t="s">
        <v>30</v>
      </c>
      <c r="B212">
        <v>2018</v>
      </c>
      <c r="C212" t="s">
        <v>44</v>
      </c>
      <c r="D212" s="2">
        <v>137.1</v>
      </c>
      <c r="E212" s="2">
        <v>150.80000000000001</v>
      </c>
      <c r="F212" s="2">
        <v>136.69999999999999</v>
      </c>
      <c r="G212" s="2">
        <v>141.9</v>
      </c>
      <c r="H212" s="2">
        <v>122.8</v>
      </c>
      <c r="I212" s="2">
        <v>143.9</v>
      </c>
      <c r="J212" s="2">
        <v>147.5</v>
      </c>
      <c r="K212" s="2">
        <v>121</v>
      </c>
      <c r="L212" s="2">
        <v>111.6</v>
      </c>
      <c r="M212" s="2">
        <v>140.6</v>
      </c>
      <c r="N212" s="2">
        <v>137.5</v>
      </c>
      <c r="O212" s="2">
        <v>156.1</v>
      </c>
      <c r="P212" s="2">
        <v>140</v>
      </c>
      <c r="Q212" s="2">
        <v>161.9</v>
      </c>
      <c r="R212" s="2">
        <v>151.69999999999999</v>
      </c>
      <c r="S212" s="2">
        <v>145.5</v>
      </c>
      <c r="T212" s="2">
        <v>150.80000000000001</v>
      </c>
      <c r="U212" s="2">
        <f>AVERAGE(U213,U214)</f>
        <v>146.9</v>
      </c>
      <c r="V212" s="2">
        <v>150.30000000000001</v>
      </c>
      <c r="W212" s="2">
        <v>148</v>
      </c>
      <c r="X212" s="2">
        <v>145.4</v>
      </c>
      <c r="Y212" s="2">
        <v>130.30000000000001</v>
      </c>
      <c r="Z212" s="2">
        <v>143.1</v>
      </c>
      <c r="AA212" s="2">
        <v>150.19999999999999</v>
      </c>
      <c r="AB212" s="2">
        <v>133.1</v>
      </c>
      <c r="AC212" s="2">
        <v>140.1</v>
      </c>
      <c r="AD212" s="2">
        <v>142.4</v>
      </c>
      <c r="AE212" s="2">
        <f t="shared" si="30"/>
        <v>1787.4999999999995</v>
      </c>
      <c r="AF212" s="2">
        <f t="shared" si="31"/>
        <v>448</v>
      </c>
      <c r="AG212" s="2">
        <f t="shared" si="32"/>
        <v>294.89999999999998</v>
      </c>
      <c r="AH212" s="2">
        <f t="shared" si="33"/>
        <v>150.30000000000001</v>
      </c>
      <c r="AI212" s="2">
        <f t="shared" si="34"/>
        <v>1004.1</v>
      </c>
      <c r="AJ212" s="2">
        <f t="shared" si="35"/>
        <v>137.49999999999997</v>
      </c>
      <c r="AK212" s="2">
        <f t="shared" si="36"/>
        <v>149.33333333333334</v>
      </c>
      <c r="AL212" s="2">
        <f t="shared" si="37"/>
        <v>147.44999999999999</v>
      </c>
      <c r="AM212" s="2">
        <f t="shared" si="38"/>
        <v>150.30000000000001</v>
      </c>
      <c r="AN212" s="2">
        <f t="shared" si="39"/>
        <v>143.44285714285715</v>
      </c>
    </row>
    <row r="213" spans="1:40" x14ac:dyDescent="0.3">
      <c r="A213" t="s">
        <v>32</v>
      </c>
      <c r="B213">
        <v>2018</v>
      </c>
      <c r="C213" t="s">
        <v>44</v>
      </c>
      <c r="D213" s="2">
        <v>138.1</v>
      </c>
      <c r="E213" s="2">
        <v>146.30000000000001</v>
      </c>
      <c r="F213" s="2">
        <v>137.80000000000001</v>
      </c>
      <c r="G213" s="2">
        <v>141.6</v>
      </c>
      <c r="H213" s="2">
        <v>118.1</v>
      </c>
      <c r="I213" s="2">
        <v>141.5</v>
      </c>
      <c r="J213" s="2">
        <v>145.19999999999999</v>
      </c>
      <c r="K213" s="2">
        <v>115.3</v>
      </c>
      <c r="L213" s="2">
        <v>112.5</v>
      </c>
      <c r="M213" s="2">
        <v>141.4</v>
      </c>
      <c r="N213" s="2">
        <v>128</v>
      </c>
      <c r="O213" s="2">
        <v>152.6</v>
      </c>
      <c r="P213" s="2">
        <v>139.1</v>
      </c>
      <c r="Q213" s="2">
        <v>164.4</v>
      </c>
      <c r="R213" s="2">
        <v>142.4</v>
      </c>
      <c r="S213" s="2">
        <v>130.19999999999999</v>
      </c>
      <c r="T213" s="2">
        <v>140.5</v>
      </c>
      <c r="U213" s="2">
        <v>146.9</v>
      </c>
      <c r="V213" s="2">
        <v>136.69999999999999</v>
      </c>
      <c r="W213" s="2">
        <v>135.80000000000001</v>
      </c>
      <c r="X213" s="2">
        <v>136.80000000000001</v>
      </c>
      <c r="Y213" s="2">
        <v>121.2</v>
      </c>
      <c r="Z213" s="2">
        <v>131.30000000000001</v>
      </c>
      <c r="AA213" s="2">
        <v>146.1</v>
      </c>
      <c r="AB213" s="2">
        <v>130.5</v>
      </c>
      <c r="AC213" s="2">
        <v>132.19999999999999</v>
      </c>
      <c r="AD213" s="2">
        <v>139</v>
      </c>
      <c r="AE213" s="2">
        <f t="shared" si="30"/>
        <v>1757.4999999999998</v>
      </c>
      <c r="AF213" s="2">
        <f t="shared" si="31"/>
        <v>413.1</v>
      </c>
      <c r="AG213" s="2">
        <f t="shared" si="32"/>
        <v>282.70000000000005</v>
      </c>
      <c r="AH213" s="2">
        <f t="shared" si="33"/>
        <v>136.69999999999999</v>
      </c>
      <c r="AI213" s="2">
        <f t="shared" si="34"/>
        <v>962.49999999999989</v>
      </c>
      <c r="AJ213" s="2">
        <f t="shared" si="35"/>
        <v>135.19230769230768</v>
      </c>
      <c r="AK213" s="2">
        <f t="shared" si="36"/>
        <v>137.70000000000002</v>
      </c>
      <c r="AL213" s="2">
        <f t="shared" si="37"/>
        <v>141.35000000000002</v>
      </c>
      <c r="AM213" s="2">
        <f t="shared" si="38"/>
        <v>136.69999999999999</v>
      </c>
      <c r="AN213" s="2">
        <f t="shared" si="39"/>
        <v>137.49999999999997</v>
      </c>
    </row>
    <row r="214" spans="1:40" x14ac:dyDescent="0.3">
      <c r="A214" t="s">
        <v>33</v>
      </c>
      <c r="B214">
        <v>2018</v>
      </c>
      <c r="C214" t="s">
        <v>44</v>
      </c>
      <c r="D214" s="2">
        <v>137.4</v>
      </c>
      <c r="E214" s="2">
        <v>149.19999999999999</v>
      </c>
      <c r="F214" s="2">
        <v>137.1</v>
      </c>
      <c r="G214" s="2">
        <v>141.80000000000001</v>
      </c>
      <c r="H214" s="2">
        <v>121.1</v>
      </c>
      <c r="I214" s="2">
        <v>142.80000000000001</v>
      </c>
      <c r="J214" s="2">
        <v>146.69999999999999</v>
      </c>
      <c r="K214" s="2">
        <v>119.1</v>
      </c>
      <c r="L214" s="2">
        <v>111.9</v>
      </c>
      <c r="M214" s="2">
        <v>140.9</v>
      </c>
      <c r="N214" s="2">
        <v>133.5</v>
      </c>
      <c r="O214" s="2">
        <v>154.5</v>
      </c>
      <c r="P214" s="2">
        <v>139.69999999999999</v>
      </c>
      <c r="Q214" s="2">
        <v>162.6</v>
      </c>
      <c r="R214" s="2">
        <v>148</v>
      </c>
      <c r="S214" s="2">
        <v>139.1</v>
      </c>
      <c r="T214" s="2">
        <v>146.69999999999999</v>
      </c>
      <c r="U214" s="2">
        <v>146.9</v>
      </c>
      <c r="V214" s="2">
        <v>145.1</v>
      </c>
      <c r="W214" s="2">
        <v>142.19999999999999</v>
      </c>
      <c r="X214" s="2">
        <v>142.1</v>
      </c>
      <c r="Y214" s="2">
        <v>125.5</v>
      </c>
      <c r="Z214" s="2">
        <v>136.5</v>
      </c>
      <c r="AA214" s="2">
        <v>147.80000000000001</v>
      </c>
      <c r="AB214" s="2">
        <v>132</v>
      </c>
      <c r="AC214" s="2">
        <v>136.30000000000001</v>
      </c>
      <c r="AD214" s="2">
        <v>140.80000000000001</v>
      </c>
      <c r="AE214" s="2">
        <f t="shared" si="30"/>
        <v>1775.7000000000003</v>
      </c>
      <c r="AF214" s="2">
        <f t="shared" si="31"/>
        <v>433.8</v>
      </c>
      <c r="AG214" s="2">
        <f t="shared" si="32"/>
        <v>289.10000000000002</v>
      </c>
      <c r="AH214" s="2">
        <f t="shared" si="33"/>
        <v>145.1</v>
      </c>
      <c r="AI214" s="2">
        <f t="shared" si="34"/>
        <v>982.80000000000007</v>
      </c>
      <c r="AJ214" s="2">
        <f t="shared" si="35"/>
        <v>136.59230769230771</v>
      </c>
      <c r="AK214" s="2">
        <f t="shared" si="36"/>
        <v>144.6</v>
      </c>
      <c r="AL214" s="2">
        <f t="shared" si="37"/>
        <v>144.55000000000001</v>
      </c>
      <c r="AM214" s="2">
        <f t="shared" si="38"/>
        <v>145.1</v>
      </c>
      <c r="AN214" s="2">
        <f t="shared" si="39"/>
        <v>140.4</v>
      </c>
    </row>
    <row r="215" spans="1:40" x14ac:dyDescent="0.3">
      <c r="A215" t="s">
        <v>30</v>
      </c>
      <c r="B215">
        <v>2018</v>
      </c>
      <c r="C215" t="s">
        <v>45</v>
      </c>
      <c r="D215" s="2">
        <v>137.1</v>
      </c>
      <c r="E215" s="2">
        <v>151.9</v>
      </c>
      <c r="F215" s="2">
        <v>137.4</v>
      </c>
      <c r="G215" s="2">
        <v>142.4</v>
      </c>
      <c r="H215" s="2">
        <v>124.2</v>
      </c>
      <c r="I215" s="2">
        <v>140.19999999999999</v>
      </c>
      <c r="J215" s="2">
        <v>136.6</v>
      </c>
      <c r="K215" s="2">
        <v>120.9</v>
      </c>
      <c r="L215" s="2">
        <v>109.9</v>
      </c>
      <c r="M215" s="2">
        <v>140.19999999999999</v>
      </c>
      <c r="N215" s="2">
        <v>137.80000000000001</v>
      </c>
      <c r="O215" s="2">
        <v>156</v>
      </c>
      <c r="P215" s="2">
        <v>138.5</v>
      </c>
      <c r="Q215" s="2">
        <v>162.4</v>
      </c>
      <c r="R215" s="2">
        <v>151.6</v>
      </c>
      <c r="S215" s="2">
        <v>145.9</v>
      </c>
      <c r="T215" s="2">
        <v>150.80000000000001</v>
      </c>
      <c r="U215" s="2">
        <f>AVERAGE(U216,U217)</f>
        <v>146.5</v>
      </c>
      <c r="V215" s="2">
        <v>149</v>
      </c>
      <c r="W215" s="2">
        <v>149.5</v>
      </c>
      <c r="X215" s="2">
        <v>149.6</v>
      </c>
      <c r="Y215" s="2">
        <v>128.9</v>
      </c>
      <c r="Z215" s="2">
        <v>143.30000000000001</v>
      </c>
      <c r="AA215" s="2">
        <v>155.1</v>
      </c>
      <c r="AB215" s="2">
        <v>133.19999999999999</v>
      </c>
      <c r="AC215" s="2">
        <v>141.6</v>
      </c>
      <c r="AD215" s="2">
        <v>141.9</v>
      </c>
      <c r="AE215" s="2">
        <f t="shared" si="30"/>
        <v>1773.1000000000001</v>
      </c>
      <c r="AF215" s="2">
        <f t="shared" si="31"/>
        <v>448.3</v>
      </c>
      <c r="AG215" s="2">
        <f t="shared" si="32"/>
        <v>296</v>
      </c>
      <c r="AH215" s="2">
        <f t="shared" si="33"/>
        <v>149</v>
      </c>
      <c r="AI215" s="2">
        <f t="shared" si="34"/>
        <v>1014.0999999999999</v>
      </c>
      <c r="AJ215" s="2">
        <f t="shared" si="35"/>
        <v>136.3923076923077</v>
      </c>
      <c r="AK215" s="2">
        <f t="shared" si="36"/>
        <v>149.43333333333334</v>
      </c>
      <c r="AL215" s="2">
        <f t="shared" si="37"/>
        <v>148</v>
      </c>
      <c r="AM215" s="2">
        <f t="shared" si="38"/>
        <v>149</v>
      </c>
      <c r="AN215" s="2">
        <f t="shared" si="39"/>
        <v>144.87142857142857</v>
      </c>
    </row>
    <row r="216" spans="1:40" x14ac:dyDescent="0.3">
      <c r="A216" t="s">
        <v>32</v>
      </c>
      <c r="B216">
        <v>2018</v>
      </c>
      <c r="C216" t="s">
        <v>45</v>
      </c>
      <c r="D216" s="2">
        <v>138.5</v>
      </c>
      <c r="E216" s="2">
        <v>147.80000000000001</v>
      </c>
      <c r="F216" s="2">
        <v>141.1</v>
      </c>
      <c r="G216" s="2">
        <v>141.6</v>
      </c>
      <c r="H216" s="2">
        <v>118.1</v>
      </c>
      <c r="I216" s="2">
        <v>138.5</v>
      </c>
      <c r="J216" s="2">
        <v>132.4</v>
      </c>
      <c r="K216" s="2">
        <v>117.5</v>
      </c>
      <c r="L216" s="2">
        <v>111</v>
      </c>
      <c r="M216" s="2">
        <v>141.5</v>
      </c>
      <c r="N216" s="2">
        <v>128.1</v>
      </c>
      <c r="O216" s="2">
        <v>152.9</v>
      </c>
      <c r="P216" s="2">
        <v>137.6</v>
      </c>
      <c r="Q216" s="2">
        <v>164.6</v>
      </c>
      <c r="R216" s="2">
        <v>142.69999999999999</v>
      </c>
      <c r="S216" s="2">
        <v>130.30000000000001</v>
      </c>
      <c r="T216" s="2">
        <v>140.80000000000001</v>
      </c>
      <c r="U216" s="2">
        <v>146.5</v>
      </c>
      <c r="V216" s="2">
        <v>132.4</v>
      </c>
      <c r="W216" s="2">
        <v>136.19999999999999</v>
      </c>
      <c r="X216" s="2">
        <v>137.30000000000001</v>
      </c>
      <c r="Y216" s="2">
        <v>118.8</v>
      </c>
      <c r="Z216" s="2">
        <v>131.69999999999999</v>
      </c>
      <c r="AA216" s="2">
        <v>146.5</v>
      </c>
      <c r="AB216" s="2">
        <v>130.80000000000001</v>
      </c>
      <c r="AC216" s="2">
        <v>131.69999999999999</v>
      </c>
      <c r="AD216" s="2">
        <v>138</v>
      </c>
      <c r="AE216" s="2">
        <f t="shared" si="30"/>
        <v>1746.6</v>
      </c>
      <c r="AF216" s="2">
        <f t="shared" si="31"/>
        <v>413.8</v>
      </c>
      <c r="AG216" s="2">
        <f t="shared" si="32"/>
        <v>282.7</v>
      </c>
      <c r="AH216" s="2">
        <f t="shared" si="33"/>
        <v>132.4</v>
      </c>
      <c r="AI216" s="2">
        <f t="shared" si="34"/>
        <v>961.4</v>
      </c>
      <c r="AJ216" s="2">
        <f t="shared" si="35"/>
        <v>134.35384615384615</v>
      </c>
      <c r="AK216" s="2">
        <f t="shared" si="36"/>
        <v>137.93333333333334</v>
      </c>
      <c r="AL216" s="2">
        <f t="shared" si="37"/>
        <v>141.35</v>
      </c>
      <c r="AM216" s="2">
        <f t="shared" si="38"/>
        <v>132.4</v>
      </c>
      <c r="AN216" s="2">
        <f t="shared" si="39"/>
        <v>137.34285714285713</v>
      </c>
    </row>
    <row r="217" spans="1:40" x14ac:dyDescent="0.3">
      <c r="A217" t="s">
        <v>33</v>
      </c>
      <c r="B217">
        <v>2018</v>
      </c>
      <c r="C217" t="s">
        <v>45</v>
      </c>
      <c r="D217" s="2">
        <v>137.5</v>
      </c>
      <c r="E217" s="2">
        <v>150.5</v>
      </c>
      <c r="F217" s="2">
        <v>138.80000000000001</v>
      </c>
      <c r="G217" s="2">
        <v>142.1</v>
      </c>
      <c r="H217" s="2">
        <v>122</v>
      </c>
      <c r="I217" s="2">
        <v>139.4</v>
      </c>
      <c r="J217" s="2">
        <v>135.19999999999999</v>
      </c>
      <c r="K217" s="2">
        <v>119.8</v>
      </c>
      <c r="L217" s="2">
        <v>110.3</v>
      </c>
      <c r="M217" s="2">
        <v>140.6</v>
      </c>
      <c r="N217" s="2">
        <v>133.80000000000001</v>
      </c>
      <c r="O217" s="2">
        <v>154.6</v>
      </c>
      <c r="P217" s="2">
        <v>138.19999999999999</v>
      </c>
      <c r="Q217" s="2">
        <v>163</v>
      </c>
      <c r="R217" s="2">
        <v>148.1</v>
      </c>
      <c r="S217" s="2">
        <v>139.4</v>
      </c>
      <c r="T217" s="2">
        <v>146.80000000000001</v>
      </c>
      <c r="U217" s="2">
        <v>146.5</v>
      </c>
      <c r="V217" s="2">
        <v>142.69999999999999</v>
      </c>
      <c r="W217" s="2">
        <v>143.19999999999999</v>
      </c>
      <c r="X217" s="2">
        <v>144.9</v>
      </c>
      <c r="Y217" s="2">
        <v>123.6</v>
      </c>
      <c r="Z217" s="2">
        <v>136.80000000000001</v>
      </c>
      <c r="AA217" s="2">
        <v>150.1</v>
      </c>
      <c r="AB217" s="2">
        <v>132.19999999999999</v>
      </c>
      <c r="AC217" s="2">
        <v>136.80000000000001</v>
      </c>
      <c r="AD217" s="2">
        <v>140.1</v>
      </c>
      <c r="AE217" s="2">
        <f t="shared" si="30"/>
        <v>1762.7999999999997</v>
      </c>
      <c r="AF217" s="2">
        <f t="shared" si="31"/>
        <v>434.3</v>
      </c>
      <c r="AG217" s="2">
        <f t="shared" si="32"/>
        <v>289.7</v>
      </c>
      <c r="AH217" s="2">
        <f t="shared" si="33"/>
        <v>142.69999999999999</v>
      </c>
      <c r="AI217" s="2">
        <f t="shared" si="34"/>
        <v>987.39999999999986</v>
      </c>
      <c r="AJ217" s="2">
        <f t="shared" si="35"/>
        <v>135.59999999999997</v>
      </c>
      <c r="AK217" s="2">
        <f t="shared" si="36"/>
        <v>144.76666666666668</v>
      </c>
      <c r="AL217" s="2">
        <f t="shared" si="37"/>
        <v>144.85</v>
      </c>
      <c r="AM217" s="2">
        <f t="shared" si="38"/>
        <v>142.69999999999999</v>
      </c>
      <c r="AN217" s="2">
        <f t="shared" si="39"/>
        <v>141.05714285714285</v>
      </c>
    </row>
    <row r="218" spans="1:40" x14ac:dyDescent="0.3">
      <c r="A218" t="s">
        <v>30</v>
      </c>
      <c r="B218">
        <v>2019</v>
      </c>
      <c r="C218" t="s">
        <v>31</v>
      </c>
      <c r="D218" s="2">
        <v>136.6</v>
      </c>
      <c r="E218" s="2">
        <v>152.5</v>
      </c>
      <c r="F218" s="2">
        <v>138.19999999999999</v>
      </c>
      <c r="G218" s="2">
        <v>142.4</v>
      </c>
      <c r="H218" s="2">
        <v>123.9</v>
      </c>
      <c r="I218" s="2">
        <v>135.5</v>
      </c>
      <c r="J218" s="2">
        <v>131.69999999999999</v>
      </c>
      <c r="K218" s="2">
        <v>121.3</v>
      </c>
      <c r="L218" s="2">
        <v>108.4</v>
      </c>
      <c r="M218" s="2">
        <v>138.9</v>
      </c>
      <c r="N218" s="2">
        <v>137</v>
      </c>
      <c r="O218" s="2">
        <v>155.80000000000001</v>
      </c>
      <c r="P218" s="2">
        <v>137.4</v>
      </c>
      <c r="Q218" s="2">
        <v>162.69999999999999</v>
      </c>
      <c r="R218" s="2">
        <v>150.6</v>
      </c>
      <c r="S218" s="2">
        <v>145.1</v>
      </c>
      <c r="T218" s="2">
        <v>149.9</v>
      </c>
      <c r="U218" s="2">
        <f>AVERAGE(U219,U220)</f>
        <v>147.69999999999999</v>
      </c>
      <c r="V218" s="2">
        <v>146.19999999999999</v>
      </c>
      <c r="W218" s="2">
        <v>150.1</v>
      </c>
      <c r="X218" s="2">
        <v>149.6</v>
      </c>
      <c r="Y218" s="2">
        <v>128.6</v>
      </c>
      <c r="Z218" s="2">
        <v>142.9</v>
      </c>
      <c r="AA218" s="2">
        <v>155.19999999999999</v>
      </c>
      <c r="AB218" s="2">
        <v>133.5</v>
      </c>
      <c r="AC218" s="2">
        <v>141.69999999999999</v>
      </c>
      <c r="AD218" s="2">
        <v>141</v>
      </c>
      <c r="AE218" s="2">
        <f t="shared" si="30"/>
        <v>1759.6000000000001</v>
      </c>
      <c r="AF218" s="2">
        <f t="shared" si="31"/>
        <v>445.6</v>
      </c>
      <c r="AG218" s="2">
        <f t="shared" si="32"/>
        <v>297.79999999999995</v>
      </c>
      <c r="AH218" s="2">
        <f t="shared" si="33"/>
        <v>146.19999999999999</v>
      </c>
      <c r="AI218" s="2">
        <f t="shared" si="34"/>
        <v>1014.2</v>
      </c>
      <c r="AJ218" s="2">
        <f t="shared" si="35"/>
        <v>135.35384615384618</v>
      </c>
      <c r="AK218" s="2">
        <f t="shared" si="36"/>
        <v>148.53333333333333</v>
      </c>
      <c r="AL218" s="2">
        <f t="shared" si="37"/>
        <v>148.89999999999998</v>
      </c>
      <c r="AM218" s="2">
        <f t="shared" si="38"/>
        <v>146.19999999999999</v>
      </c>
      <c r="AN218" s="2">
        <f t="shared" si="39"/>
        <v>144.8857142857143</v>
      </c>
    </row>
    <row r="219" spans="1:40" x14ac:dyDescent="0.3">
      <c r="A219" t="s">
        <v>32</v>
      </c>
      <c r="B219">
        <v>2019</v>
      </c>
      <c r="C219" t="s">
        <v>31</v>
      </c>
      <c r="D219" s="2">
        <v>138.30000000000001</v>
      </c>
      <c r="E219" s="2">
        <v>149.4</v>
      </c>
      <c r="F219" s="2">
        <v>143.5</v>
      </c>
      <c r="G219" s="2">
        <v>141.69999999999999</v>
      </c>
      <c r="H219" s="2">
        <v>118.1</v>
      </c>
      <c r="I219" s="2">
        <v>135.19999999999999</v>
      </c>
      <c r="J219" s="2">
        <v>130.5</v>
      </c>
      <c r="K219" s="2">
        <v>118.2</v>
      </c>
      <c r="L219" s="2">
        <v>110.4</v>
      </c>
      <c r="M219" s="2">
        <v>140.4</v>
      </c>
      <c r="N219" s="2">
        <v>128.1</v>
      </c>
      <c r="O219" s="2">
        <v>153.19999999999999</v>
      </c>
      <c r="P219" s="2">
        <v>137.30000000000001</v>
      </c>
      <c r="Q219" s="2">
        <v>164.7</v>
      </c>
      <c r="R219" s="2">
        <v>143</v>
      </c>
      <c r="S219" s="2">
        <v>130.4</v>
      </c>
      <c r="T219" s="2">
        <v>141.1</v>
      </c>
      <c r="U219" s="2">
        <v>147.69999999999999</v>
      </c>
      <c r="V219" s="2">
        <v>128.6</v>
      </c>
      <c r="W219" s="2">
        <v>136.30000000000001</v>
      </c>
      <c r="X219" s="2">
        <v>137.80000000000001</v>
      </c>
      <c r="Y219" s="2">
        <v>118.6</v>
      </c>
      <c r="Z219" s="2">
        <v>131.9</v>
      </c>
      <c r="AA219" s="2">
        <v>146.6</v>
      </c>
      <c r="AB219" s="2">
        <v>131.69999999999999</v>
      </c>
      <c r="AC219" s="2">
        <v>131.80000000000001</v>
      </c>
      <c r="AD219" s="2">
        <v>138</v>
      </c>
      <c r="AE219" s="2">
        <f t="shared" si="30"/>
        <v>1744.3000000000002</v>
      </c>
      <c r="AF219" s="2">
        <f t="shared" si="31"/>
        <v>414.5</v>
      </c>
      <c r="AG219" s="2">
        <f t="shared" si="32"/>
        <v>284</v>
      </c>
      <c r="AH219" s="2">
        <f t="shared" si="33"/>
        <v>128.6</v>
      </c>
      <c r="AI219" s="2">
        <f t="shared" si="34"/>
        <v>963.09999999999991</v>
      </c>
      <c r="AJ219" s="2">
        <f t="shared" si="35"/>
        <v>134.17692307692309</v>
      </c>
      <c r="AK219" s="2">
        <f t="shared" si="36"/>
        <v>138.16666666666666</v>
      </c>
      <c r="AL219" s="2">
        <f t="shared" si="37"/>
        <v>142</v>
      </c>
      <c r="AM219" s="2">
        <f t="shared" si="38"/>
        <v>128.6</v>
      </c>
      <c r="AN219" s="2">
        <f t="shared" si="39"/>
        <v>137.58571428571426</v>
      </c>
    </row>
    <row r="220" spans="1:40" x14ac:dyDescent="0.3">
      <c r="A220" t="s">
        <v>33</v>
      </c>
      <c r="B220">
        <v>2019</v>
      </c>
      <c r="C220" t="s">
        <v>31</v>
      </c>
      <c r="D220" s="2">
        <v>137.1</v>
      </c>
      <c r="E220" s="2">
        <v>151.4</v>
      </c>
      <c r="F220" s="2">
        <v>140.19999999999999</v>
      </c>
      <c r="G220" s="2">
        <v>142.1</v>
      </c>
      <c r="H220" s="2">
        <v>121.8</v>
      </c>
      <c r="I220" s="2">
        <v>135.4</v>
      </c>
      <c r="J220" s="2">
        <v>131.30000000000001</v>
      </c>
      <c r="K220" s="2">
        <v>120.3</v>
      </c>
      <c r="L220" s="2">
        <v>109.1</v>
      </c>
      <c r="M220" s="2">
        <v>139.4</v>
      </c>
      <c r="N220" s="2">
        <v>133.30000000000001</v>
      </c>
      <c r="O220" s="2">
        <v>154.6</v>
      </c>
      <c r="P220" s="2">
        <v>137.4</v>
      </c>
      <c r="Q220" s="2">
        <v>163.19999999999999</v>
      </c>
      <c r="R220" s="2">
        <v>147.6</v>
      </c>
      <c r="S220" s="2">
        <v>139</v>
      </c>
      <c r="T220" s="2">
        <v>146.4</v>
      </c>
      <c r="U220" s="2">
        <v>147.69999999999999</v>
      </c>
      <c r="V220" s="2">
        <v>139.5</v>
      </c>
      <c r="W220" s="2">
        <v>143.6</v>
      </c>
      <c r="X220" s="2">
        <v>145.1</v>
      </c>
      <c r="Y220" s="2">
        <v>123.3</v>
      </c>
      <c r="Z220" s="2">
        <v>136.69999999999999</v>
      </c>
      <c r="AA220" s="2">
        <v>150.19999999999999</v>
      </c>
      <c r="AB220" s="2">
        <v>132.80000000000001</v>
      </c>
      <c r="AC220" s="2">
        <v>136.9</v>
      </c>
      <c r="AD220" s="2">
        <v>139.6</v>
      </c>
      <c r="AE220" s="2">
        <f t="shared" si="30"/>
        <v>1753.3999999999999</v>
      </c>
      <c r="AF220" s="2">
        <f t="shared" si="31"/>
        <v>433</v>
      </c>
      <c r="AG220" s="2">
        <f t="shared" si="32"/>
        <v>291.29999999999995</v>
      </c>
      <c r="AH220" s="2">
        <f t="shared" si="33"/>
        <v>139.5</v>
      </c>
      <c r="AI220" s="2">
        <f t="shared" si="34"/>
        <v>988.19999999999982</v>
      </c>
      <c r="AJ220" s="2">
        <f t="shared" si="35"/>
        <v>134.87692307692308</v>
      </c>
      <c r="AK220" s="2">
        <f t="shared" si="36"/>
        <v>144.33333333333334</v>
      </c>
      <c r="AL220" s="2">
        <f t="shared" si="37"/>
        <v>145.64999999999998</v>
      </c>
      <c r="AM220" s="2">
        <f t="shared" si="38"/>
        <v>139.5</v>
      </c>
      <c r="AN220" s="2">
        <f t="shared" si="39"/>
        <v>141.17142857142855</v>
      </c>
    </row>
    <row r="221" spans="1:40" x14ac:dyDescent="0.3">
      <c r="A221" t="s">
        <v>30</v>
      </c>
      <c r="B221">
        <v>2019</v>
      </c>
      <c r="C221" t="s">
        <v>34</v>
      </c>
      <c r="D221" s="2">
        <v>136.80000000000001</v>
      </c>
      <c r="E221" s="2">
        <v>153</v>
      </c>
      <c r="F221" s="2">
        <v>139.1</v>
      </c>
      <c r="G221" s="2">
        <v>142.5</v>
      </c>
      <c r="H221" s="2">
        <v>124.1</v>
      </c>
      <c r="I221" s="2">
        <v>135.80000000000001</v>
      </c>
      <c r="J221" s="2">
        <v>128.69999999999999</v>
      </c>
      <c r="K221" s="2">
        <v>121.5</v>
      </c>
      <c r="L221" s="2">
        <v>108.3</v>
      </c>
      <c r="M221" s="2">
        <v>139.19999999999999</v>
      </c>
      <c r="N221" s="2">
        <v>137.4</v>
      </c>
      <c r="O221" s="2">
        <v>156.19999999999999</v>
      </c>
      <c r="P221" s="2">
        <v>137.19999999999999</v>
      </c>
      <c r="Q221" s="2">
        <v>162.80000000000001</v>
      </c>
      <c r="R221" s="2">
        <v>150.5</v>
      </c>
      <c r="S221" s="2">
        <v>146.1</v>
      </c>
      <c r="T221" s="2">
        <v>149.9</v>
      </c>
      <c r="U221" s="2">
        <f>AVERAGE(U222,U223)</f>
        <v>148.5</v>
      </c>
      <c r="V221" s="2">
        <v>145.30000000000001</v>
      </c>
      <c r="W221" s="2">
        <v>150.1</v>
      </c>
      <c r="X221" s="2">
        <v>149.9</v>
      </c>
      <c r="Y221" s="2">
        <v>129.19999999999999</v>
      </c>
      <c r="Z221" s="2">
        <v>143.4</v>
      </c>
      <c r="AA221" s="2">
        <v>155.5</v>
      </c>
      <c r="AB221" s="2">
        <v>134.9</v>
      </c>
      <c r="AC221" s="2">
        <v>142.19999999999999</v>
      </c>
      <c r="AD221" s="2">
        <v>141</v>
      </c>
      <c r="AE221" s="2">
        <f t="shared" si="30"/>
        <v>1759.8000000000002</v>
      </c>
      <c r="AF221" s="2">
        <f t="shared" si="31"/>
        <v>446.5</v>
      </c>
      <c r="AG221" s="2">
        <f t="shared" si="32"/>
        <v>298.60000000000002</v>
      </c>
      <c r="AH221" s="2">
        <f t="shared" si="33"/>
        <v>145.30000000000001</v>
      </c>
      <c r="AI221" s="2">
        <f t="shared" si="34"/>
        <v>1017.8999999999999</v>
      </c>
      <c r="AJ221" s="2">
        <f t="shared" si="35"/>
        <v>135.3692307692308</v>
      </c>
      <c r="AK221" s="2">
        <f t="shared" si="36"/>
        <v>148.83333333333334</v>
      </c>
      <c r="AL221" s="2">
        <f t="shared" si="37"/>
        <v>149.30000000000001</v>
      </c>
      <c r="AM221" s="2">
        <f t="shared" si="38"/>
        <v>145.30000000000001</v>
      </c>
      <c r="AN221" s="2">
        <f t="shared" si="39"/>
        <v>145.41428571428568</v>
      </c>
    </row>
    <row r="222" spans="1:40" x14ac:dyDescent="0.3">
      <c r="A222" t="s">
        <v>32</v>
      </c>
      <c r="B222">
        <v>2019</v>
      </c>
      <c r="C222" t="s">
        <v>34</v>
      </c>
      <c r="D222" s="2">
        <v>139.4</v>
      </c>
      <c r="E222" s="2">
        <v>150.1</v>
      </c>
      <c r="F222" s="2">
        <v>145.30000000000001</v>
      </c>
      <c r="G222" s="2">
        <v>141.69999999999999</v>
      </c>
      <c r="H222" s="2">
        <v>118.4</v>
      </c>
      <c r="I222" s="2">
        <v>137</v>
      </c>
      <c r="J222" s="2">
        <v>131.6</v>
      </c>
      <c r="K222" s="2">
        <v>119.9</v>
      </c>
      <c r="L222" s="2">
        <v>110.4</v>
      </c>
      <c r="M222" s="2">
        <v>140.80000000000001</v>
      </c>
      <c r="N222" s="2">
        <v>128.30000000000001</v>
      </c>
      <c r="O222" s="2">
        <v>153.5</v>
      </c>
      <c r="P222" s="2">
        <v>138</v>
      </c>
      <c r="Q222" s="2">
        <v>164.9</v>
      </c>
      <c r="R222" s="2">
        <v>143.30000000000001</v>
      </c>
      <c r="S222" s="2">
        <v>130.80000000000001</v>
      </c>
      <c r="T222" s="2">
        <v>141.4</v>
      </c>
      <c r="U222" s="2">
        <v>148.5</v>
      </c>
      <c r="V222" s="2">
        <v>127.1</v>
      </c>
      <c r="W222" s="2">
        <v>136.6</v>
      </c>
      <c r="X222" s="2">
        <v>138.5</v>
      </c>
      <c r="Y222" s="2">
        <v>119.2</v>
      </c>
      <c r="Z222" s="2">
        <v>132.19999999999999</v>
      </c>
      <c r="AA222" s="2">
        <v>146.6</v>
      </c>
      <c r="AB222" s="2">
        <v>133</v>
      </c>
      <c r="AC222" s="2">
        <v>132.4</v>
      </c>
      <c r="AD222" s="2">
        <v>138.6</v>
      </c>
      <c r="AE222" s="2">
        <f t="shared" si="30"/>
        <v>1754.4</v>
      </c>
      <c r="AF222" s="2">
        <f t="shared" si="31"/>
        <v>415.5</v>
      </c>
      <c r="AG222" s="2">
        <f t="shared" si="32"/>
        <v>285.10000000000002</v>
      </c>
      <c r="AH222" s="2">
        <f t="shared" si="33"/>
        <v>127.1</v>
      </c>
      <c r="AI222" s="2">
        <f t="shared" si="34"/>
        <v>966.8</v>
      </c>
      <c r="AJ222" s="2">
        <f t="shared" si="35"/>
        <v>134.95384615384617</v>
      </c>
      <c r="AK222" s="2">
        <f t="shared" si="36"/>
        <v>138.5</v>
      </c>
      <c r="AL222" s="2">
        <f t="shared" si="37"/>
        <v>142.55000000000001</v>
      </c>
      <c r="AM222" s="2">
        <f t="shared" si="38"/>
        <v>127.1</v>
      </c>
      <c r="AN222" s="2">
        <f t="shared" si="39"/>
        <v>138.1142857142857</v>
      </c>
    </row>
    <row r="223" spans="1:40" x14ac:dyDescent="0.3">
      <c r="A223" t="s">
        <v>33</v>
      </c>
      <c r="B223">
        <v>2019</v>
      </c>
      <c r="C223" t="s">
        <v>34</v>
      </c>
      <c r="D223" s="2">
        <v>137.6</v>
      </c>
      <c r="E223" s="2">
        <v>152</v>
      </c>
      <c r="F223" s="2">
        <v>141.5</v>
      </c>
      <c r="G223" s="2">
        <v>142.19999999999999</v>
      </c>
      <c r="H223" s="2">
        <v>122</v>
      </c>
      <c r="I223" s="2">
        <v>136.4</v>
      </c>
      <c r="J223" s="2">
        <v>129.69999999999999</v>
      </c>
      <c r="K223" s="2">
        <v>121</v>
      </c>
      <c r="L223" s="2">
        <v>109</v>
      </c>
      <c r="M223" s="2">
        <v>139.69999999999999</v>
      </c>
      <c r="N223" s="2">
        <v>133.6</v>
      </c>
      <c r="O223" s="2">
        <v>154.9</v>
      </c>
      <c r="P223" s="2">
        <v>137.5</v>
      </c>
      <c r="Q223" s="2">
        <v>163.4</v>
      </c>
      <c r="R223" s="2">
        <v>147.69999999999999</v>
      </c>
      <c r="S223" s="2">
        <v>139.69999999999999</v>
      </c>
      <c r="T223" s="2">
        <v>146.5</v>
      </c>
      <c r="U223" s="2">
        <v>148.5</v>
      </c>
      <c r="V223" s="2">
        <v>138.4</v>
      </c>
      <c r="W223" s="2">
        <v>143.69999999999999</v>
      </c>
      <c r="X223" s="2">
        <v>145.6</v>
      </c>
      <c r="Y223" s="2">
        <v>123.9</v>
      </c>
      <c r="Z223" s="2">
        <v>137.1</v>
      </c>
      <c r="AA223" s="2">
        <v>150.30000000000001</v>
      </c>
      <c r="AB223" s="2">
        <v>134.1</v>
      </c>
      <c r="AC223" s="2">
        <v>137.4</v>
      </c>
      <c r="AD223" s="2">
        <v>139.9</v>
      </c>
      <c r="AE223" s="2">
        <f t="shared" si="30"/>
        <v>1757.1</v>
      </c>
      <c r="AF223" s="2">
        <f t="shared" si="31"/>
        <v>433.9</v>
      </c>
      <c r="AG223" s="2">
        <f t="shared" si="32"/>
        <v>292.2</v>
      </c>
      <c r="AH223" s="2">
        <f t="shared" si="33"/>
        <v>138.4</v>
      </c>
      <c r="AI223" s="2">
        <f t="shared" si="34"/>
        <v>991.80000000000007</v>
      </c>
      <c r="AJ223" s="2">
        <f t="shared" si="35"/>
        <v>135.16153846153844</v>
      </c>
      <c r="AK223" s="2">
        <f t="shared" si="36"/>
        <v>144.63333333333333</v>
      </c>
      <c r="AL223" s="2">
        <f t="shared" si="37"/>
        <v>146.1</v>
      </c>
      <c r="AM223" s="2">
        <f t="shared" si="38"/>
        <v>138.4</v>
      </c>
      <c r="AN223" s="2">
        <f t="shared" si="39"/>
        <v>141.68571428571428</v>
      </c>
    </row>
    <row r="224" spans="1:40" x14ac:dyDescent="0.3">
      <c r="A224" t="s">
        <v>30</v>
      </c>
      <c r="B224">
        <v>2019</v>
      </c>
      <c r="C224" t="s">
        <v>35</v>
      </c>
      <c r="D224" s="2">
        <v>136.9</v>
      </c>
      <c r="E224" s="2">
        <v>154.1</v>
      </c>
      <c r="F224" s="2">
        <v>138.69999999999999</v>
      </c>
      <c r="G224" s="2">
        <v>142.5</v>
      </c>
      <c r="H224" s="2">
        <v>124.1</v>
      </c>
      <c r="I224" s="2">
        <v>136.1</v>
      </c>
      <c r="J224" s="2">
        <v>128.19999999999999</v>
      </c>
      <c r="K224" s="2">
        <v>122.3</v>
      </c>
      <c r="L224" s="2">
        <v>108.3</v>
      </c>
      <c r="M224" s="2">
        <v>138.9</v>
      </c>
      <c r="N224" s="2">
        <v>137.4</v>
      </c>
      <c r="O224" s="2">
        <v>156.4</v>
      </c>
      <c r="P224" s="2">
        <v>137.30000000000001</v>
      </c>
      <c r="Q224" s="2">
        <v>162.9</v>
      </c>
      <c r="R224" s="2">
        <v>150.80000000000001</v>
      </c>
      <c r="S224" s="2">
        <v>146.1</v>
      </c>
      <c r="T224" s="2">
        <v>150.1</v>
      </c>
      <c r="U224" s="2">
        <f>AVERAGE(U225,U226)</f>
        <v>149</v>
      </c>
      <c r="V224" s="2">
        <v>146.4</v>
      </c>
      <c r="W224" s="2">
        <v>150</v>
      </c>
      <c r="X224" s="2">
        <v>150.4</v>
      </c>
      <c r="Y224" s="2">
        <v>129.9</v>
      </c>
      <c r="Z224" s="2">
        <v>143.80000000000001</v>
      </c>
      <c r="AA224" s="2">
        <v>155.5</v>
      </c>
      <c r="AB224" s="2">
        <v>134</v>
      </c>
      <c r="AC224" s="2">
        <v>142.4</v>
      </c>
      <c r="AD224" s="2">
        <v>141.19999999999999</v>
      </c>
      <c r="AE224" s="2">
        <f t="shared" si="30"/>
        <v>1761.2000000000003</v>
      </c>
      <c r="AF224" s="2">
        <f t="shared" si="31"/>
        <v>447</v>
      </c>
      <c r="AG224" s="2">
        <f t="shared" si="32"/>
        <v>299</v>
      </c>
      <c r="AH224" s="2">
        <f t="shared" si="33"/>
        <v>146.4</v>
      </c>
      <c r="AI224" s="2">
        <f t="shared" si="34"/>
        <v>1018.9</v>
      </c>
      <c r="AJ224" s="2">
        <f t="shared" si="35"/>
        <v>135.4769230769231</v>
      </c>
      <c r="AK224" s="2">
        <f t="shared" si="36"/>
        <v>149</v>
      </c>
      <c r="AL224" s="2">
        <f t="shared" si="37"/>
        <v>149.5</v>
      </c>
      <c r="AM224" s="2">
        <f t="shared" si="38"/>
        <v>146.4</v>
      </c>
      <c r="AN224" s="2">
        <f t="shared" si="39"/>
        <v>145.55714285714285</v>
      </c>
    </row>
    <row r="225" spans="1:40" x14ac:dyDescent="0.3">
      <c r="A225" t="s">
        <v>32</v>
      </c>
      <c r="B225">
        <v>2019</v>
      </c>
      <c r="C225" t="s">
        <v>35</v>
      </c>
      <c r="D225" s="2">
        <v>139.69999999999999</v>
      </c>
      <c r="E225" s="2">
        <v>151.1</v>
      </c>
      <c r="F225" s="2">
        <v>142.9</v>
      </c>
      <c r="G225" s="2">
        <v>141.9</v>
      </c>
      <c r="H225" s="2">
        <v>118.4</v>
      </c>
      <c r="I225" s="2">
        <v>139.4</v>
      </c>
      <c r="J225" s="2">
        <v>141.19999999999999</v>
      </c>
      <c r="K225" s="2">
        <v>120.7</v>
      </c>
      <c r="L225" s="2">
        <v>110.4</v>
      </c>
      <c r="M225" s="2">
        <v>140.69999999999999</v>
      </c>
      <c r="N225" s="2">
        <v>128.5</v>
      </c>
      <c r="O225" s="2">
        <v>153.9</v>
      </c>
      <c r="P225" s="2">
        <v>139.6</v>
      </c>
      <c r="Q225" s="2">
        <v>165.3</v>
      </c>
      <c r="R225" s="2">
        <v>143.5</v>
      </c>
      <c r="S225" s="2">
        <v>131.19999999999999</v>
      </c>
      <c r="T225" s="2">
        <v>141.6</v>
      </c>
      <c r="U225" s="2">
        <v>149</v>
      </c>
      <c r="V225" s="2">
        <v>128.80000000000001</v>
      </c>
      <c r="W225" s="2">
        <v>136.80000000000001</v>
      </c>
      <c r="X225" s="2">
        <v>139.19999999999999</v>
      </c>
      <c r="Y225" s="2">
        <v>119.9</v>
      </c>
      <c r="Z225" s="2">
        <v>133</v>
      </c>
      <c r="AA225" s="2">
        <v>146.69999999999999</v>
      </c>
      <c r="AB225" s="2">
        <v>132.5</v>
      </c>
      <c r="AC225" s="2">
        <v>132.80000000000001</v>
      </c>
      <c r="AD225" s="2">
        <v>139.5</v>
      </c>
      <c r="AE225" s="2">
        <f t="shared" si="30"/>
        <v>1768.4</v>
      </c>
      <c r="AF225" s="2">
        <f t="shared" si="31"/>
        <v>416.29999999999995</v>
      </c>
      <c r="AG225" s="2">
        <f t="shared" si="32"/>
        <v>285.8</v>
      </c>
      <c r="AH225" s="2">
        <f t="shared" si="33"/>
        <v>128.80000000000001</v>
      </c>
      <c r="AI225" s="2">
        <f t="shared" si="34"/>
        <v>969.39999999999986</v>
      </c>
      <c r="AJ225" s="2">
        <f t="shared" si="35"/>
        <v>136.03076923076924</v>
      </c>
      <c r="AK225" s="2">
        <f t="shared" si="36"/>
        <v>138.76666666666665</v>
      </c>
      <c r="AL225" s="2">
        <f t="shared" si="37"/>
        <v>142.9</v>
      </c>
      <c r="AM225" s="2">
        <f t="shared" si="38"/>
        <v>128.80000000000001</v>
      </c>
      <c r="AN225" s="2">
        <f t="shared" si="39"/>
        <v>138.48571428571427</v>
      </c>
    </row>
    <row r="226" spans="1:40" x14ac:dyDescent="0.3">
      <c r="A226" t="s">
        <v>33</v>
      </c>
      <c r="B226">
        <v>2019</v>
      </c>
      <c r="C226" t="s">
        <v>35</v>
      </c>
      <c r="D226" s="2">
        <v>137.80000000000001</v>
      </c>
      <c r="E226" s="2">
        <v>153</v>
      </c>
      <c r="F226" s="2">
        <v>140.30000000000001</v>
      </c>
      <c r="G226" s="2">
        <v>142.30000000000001</v>
      </c>
      <c r="H226" s="2">
        <v>122</v>
      </c>
      <c r="I226" s="2">
        <v>137.6</v>
      </c>
      <c r="J226" s="2">
        <v>132.6</v>
      </c>
      <c r="K226" s="2">
        <v>121.8</v>
      </c>
      <c r="L226" s="2">
        <v>109</v>
      </c>
      <c r="M226" s="2">
        <v>139.5</v>
      </c>
      <c r="N226" s="2">
        <v>133.69999999999999</v>
      </c>
      <c r="O226" s="2">
        <v>155.19999999999999</v>
      </c>
      <c r="P226" s="2">
        <v>138.1</v>
      </c>
      <c r="Q226" s="2">
        <v>163.5</v>
      </c>
      <c r="R226" s="2">
        <v>147.9</v>
      </c>
      <c r="S226" s="2">
        <v>139.9</v>
      </c>
      <c r="T226" s="2">
        <v>146.69999999999999</v>
      </c>
      <c r="U226" s="2">
        <v>149</v>
      </c>
      <c r="V226" s="2">
        <v>139.69999999999999</v>
      </c>
      <c r="W226" s="2">
        <v>143.80000000000001</v>
      </c>
      <c r="X226" s="2">
        <v>146.19999999999999</v>
      </c>
      <c r="Y226" s="2">
        <v>124.6</v>
      </c>
      <c r="Z226" s="2">
        <v>137.69999999999999</v>
      </c>
      <c r="AA226" s="2">
        <v>150.30000000000001</v>
      </c>
      <c r="AB226" s="2">
        <v>133.4</v>
      </c>
      <c r="AC226" s="2">
        <v>137.69999999999999</v>
      </c>
      <c r="AD226" s="2">
        <v>140.4</v>
      </c>
      <c r="AE226" s="2">
        <f t="shared" si="30"/>
        <v>1762.9</v>
      </c>
      <c r="AF226" s="2">
        <f t="shared" si="31"/>
        <v>434.5</v>
      </c>
      <c r="AG226" s="2">
        <f t="shared" si="32"/>
        <v>292.8</v>
      </c>
      <c r="AH226" s="2">
        <f t="shared" si="33"/>
        <v>139.69999999999999</v>
      </c>
      <c r="AI226" s="2">
        <f t="shared" si="34"/>
        <v>993.39999999999986</v>
      </c>
      <c r="AJ226" s="2">
        <f t="shared" si="35"/>
        <v>135.6076923076923</v>
      </c>
      <c r="AK226" s="2">
        <f t="shared" si="36"/>
        <v>144.83333333333334</v>
      </c>
      <c r="AL226" s="2">
        <f t="shared" si="37"/>
        <v>146.4</v>
      </c>
      <c r="AM226" s="2">
        <f t="shared" si="38"/>
        <v>139.69999999999999</v>
      </c>
      <c r="AN226" s="2">
        <f t="shared" si="39"/>
        <v>141.91428571428568</v>
      </c>
    </row>
    <row r="227" spans="1:40" x14ac:dyDescent="0.3">
      <c r="A227" t="s">
        <v>30</v>
      </c>
      <c r="B227">
        <v>2019</v>
      </c>
      <c r="C227" t="s">
        <v>37</v>
      </c>
      <c r="D227" s="2">
        <v>137.4</v>
      </c>
      <c r="E227" s="2">
        <v>159.5</v>
      </c>
      <c r="F227" s="2">
        <v>134.5</v>
      </c>
      <c r="G227" s="2">
        <v>142.6</v>
      </c>
      <c r="H227" s="2">
        <v>124</v>
      </c>
      <c r="I227" s="2">
        <v>143.69999999999999</v>
      </c>
      <c r="J227" s="2">
        <v>133.4</v>
      </c>
      <c r="K227" s="2">
        <v>125.1</v>
      </c>
      <c r="L227" s="2">
        <v>109.3</v>
      </c>
      <c r="M227" s="2">
        <v>139.30000000000001</v>
      </c>
      <c r="N227" s="2">
        <v>137.69999999999999</v>
      </c>
      <c r="O227" s="2">
        <v>156.4</v>
      </c>
      <c r="P227" s="2">
        <v>139.19999999999999</v>
      </c>
      <c r="Q227" s="2">
        <v>163.30000000000001</v>
      </c>
      <c r="R227" s="2">
        <v>151.30000000000001</v>
      </c>
      <c r="S227" s="2">
        <v>146.6</v>
      </c>
      <c r="T227" s="2">
        <v>150.69999999999999</v>
      </c>
      <c r="U227" s="2">
        <f>AVERAGE(U228,U229)</f>
        <v>150.1</v>
      </c>
      <c r="V227" s="2">
        <v>146.9</v>
      </c>
      <c r="W227" s="2">
        <v>149.5</v>
      </c>
      <c r="X227" s="2">
        <v>151.30000000000001</v>
      </c>
      <c r="Y227" s="2">
        <v>130.19999999999999</v>
      </c>
      <c r="Z227" s="2">
        <v>145.9</v>
      </c>
      <c r="AA227" s="2">
        <v>156.69999999999999</v>
      </c>
      <c r="AB227" s="2">
        <v>133.9</v>
      </c>
      <c r="AC227" s="2">
        <v>142.9</v>
      </c>
      <c r="AD227" s="2">
        <v>142.4</v>
      </c>
      <c r="AE227" s="2">
        <f t="shared" si="30"/>
        <v>1782.1000000000001</v>
      </c>
      <c r="AF227" s="2">
        <f t="shared" si="31"/>
        <v>448.59999999999997</v>
      </c>
      <c r="AG227" s="2">
        <f t="shared" si="32"/>
        <v>299.60000000000002</v>
      </c>
      <c r="AH227" s="2">
        <f t="shared" si="33"/>
        <v>146.9</v>
      </c>
      <c r="AI227" s="2">
        <f t="shared" si="34"/>
        <v>1024.1999999999998</v>
      </c>
      <c r="AJ227" s="2">
        <f t="shared" si="35"/>
        <v>137.0846153846154</v>
      </c>
      <c r="AK227" s="2">
        <f t="shared" si="36"/>
        <v>149.53333333333333</v>
      </c>
      <c r="AL227" s="2">
        <f t="shared" si="37"/>
        <v>149.80000000000001</v>
      </c>
      <c r="AM227" s="2">
        <f t="shared" si="38"/>
        <v>146.9</v>
      </c>
      <c r="AN227" s="2">
        <f t="shared" si="39"/>
        <v>146.31428571428569</v>
      </c>
    </row>
    <row r="228" spans="1:40" x14ac:dyDescent="0.3">
      <c r="A228" t="s">
        <v>32</v>
      </c>
      <c r="B228">
        <v>2019</v>
      </c>
      <c r="C228" t="s">
        <v>37</v>
      </c>
      <c r="D228" s="2">
        <v>140.4</v>
      </c>
      <c r="E228" s="2">
        <v>156.69999999999999</v>
      </c>
      <c r="F228" s="2">
        <v>138.30000000000001</v>
      </c>
      <c r="G228" s="2">
        <v>142.4</v>
      </c>
      <c r="H228" s="2">
        <v>118.6</v>
      </c>
      <c r="I228" s="2">
        <v>149.69999999999999</v>
      </c>
      <c r="J228" s="2">
        <v>161.6</v>
      </c>
      <c r="K228" s="2">
        <v>124.4</v>
      </c>
      <c r="L228" s="2">
        <v>111.2</v>
      </c>
      <c r="M228" s="2">
        <v>141</v>
      </c>
      <c r="N228" s="2">
        <v>128.9</v>
      </c>
      <c r="O228" s="2">
        <v>154.5</v>
      </c>
      <c r="P228" s="2">
        <v>143.80000000000001</v>
      </c>
      <c r="Q228" s="2">
        <v>166.2</v>
      </c>
      <c r="R228" s="2">
        <v>144</v>
      </c>
      <c r="S228" s="2">
        <v>131.69999999999999</v>
      </c>
      <c r="T228" s="2">
        <v>142.19999999999999</v>
      </c>
      <c r="U228" s="2">
        <v>150.1</v>
      </c>
      <c r="V228" s="2">
        <v>129.4</v>
      </c>
      <c r="W228" s="2">
        <v>137.19999999999999</v>
      </c>
      <c r="X228" s="2">
        <v>139.80000000000001</v>
      </c>
      <c r="Y228" s="2">
        <v>120.1</v>
      </c>
      <c r="Z228" s="2">
        <v>134</v>
      </c>
      <c r="AA228" s="2">
        <v>148</v>
      </c>
      <c r="AB228" s="2">
        <v>132.6</v>
      </c>
      <c r="AC228" s="2">
        <v>133.30000000000001</v>
      </c>
      <c r="AD228" s="2">
        <v>141.5</v>
      </c>
      <c r="AE228" s="2">
        <f t="shared" si="30"/>
        <v>1811.5000000000002</v>
      </c>
      <c r="AF228" s="2">
        <f t="shared" si="31"/>
        <v>417.9</v>
      </c>
      <c r="AG228" s="2">
        <f t="shared" si="32"/>
        <v>287.29999999999995</v>
      </c>
      <c r="AH228" s="2">
        <f t="shared" si="33"/>
        <v>129.4</v>
      </c>
      <c r="AI228" s="2">
        <f t="shared" si="34"/>
        <v>974</v>
      </c>
      <c r="AJ228" s="2">
        <f t="shared" si="35"/>
        <v>139.34615384615387</v>
      </c>
      <c r="AK228" s="2">
        <f t="shared" si="36"/>
        <v>139.29999999999998</v>
      </c>
      <c r="AL228" s="2">
        <f t="shared" si="37"/>
        <v>143.64999999999998</v>
      </c>
      <c r="AM228" s="2">
        <f t="shared" si="38"/>
        <v>129.4</v>
      </c>
      <c r="AN228" s="2">
        <f t="shared" si="39"/>
        <v>139.14285714285714</v>
      </c>
    </row>
    <row r="229" spans="1:40" x14ac:dyDescent="0.3">
      <c r="A229" t="s">
        <v>33</v>
      </c>
      <c r="B229">
        <v>2019</v>
      </c>
      <c r="C229" t="s">
        <v>37</v>
      </c>
      <c r="D229" s="2">
        <v>138.30000000000001</v>
      </c>
      <c r="E229" s="2">
        <v>158.5</v>
      </c>
      <c r="F229" s="2">
        <v>136</v>
      </c>
      <c r="G229" s="2">
        <v>142.5</v>
      </c>
      <c r="H229" s="2">
        <v>122</v>
      </c>
      <c r="I229" s="2">
        <v>146.5</v>
      </c>
      <c r="J229" s="2">
        <v>143</v>
      </c>
      <c r="K229" s="2">
        <v>124.9</v>
      </c>
      <c r="L229" s="2">
        <v>109.9</v>
      </c>
      <c r="M229" s="2">
        <v>139.9</v>
      </c>
      <c r="N229" s="2">
        <v>134</v>
      </c>
      <c r="O229" s="2">
        <v>155.5</v>
      </c>
      <c r="P229" s="2">
        <v>140.9</v>
      </c>
      <c r="Q229" s="2">
        <v>164.1</v>
      </c>
      <c r="R229" s="2">
        <v>148.4</v>
      </c>
      <c r="S229" s="2">
        <v>140.4</v>
      </c>
      <c r="T229" s="2">
        <v>147.30000000000001</v>
      </c>
      <c r="U229" s="2">
        <v>150.1</v>
      </c>
      <c r="V229" s="2">
        <v>140.30000000000001</v>
      </c>
      <c r="W229" s="2">
        <v>143.69999999999999</v>
      </c>
      <c r="X229" s="2">
        <v>146.9</v>
      </c>
      <c r="Y229" s="2">
        <v>124.9</v>
      </c>
      <c r="Z229" s="2">
        <v>139.19999999999999</v>
      </c>
      <c r="AA229" s="2">
        <v>151.6</v>
      </c>
      <c r="AB229" s="2">
        <v>133.4</v>
      </c>
      <c r="AC229" s="2">
        <v>138.19999999999999</v>
      </c>
      <c r="AD229" s="2">
        <v>142</v>
      </c>
      <c r="AE229" s="2">
        <f t="shared" si="30"/>
        <v>1791.9000000000003</v>
      </c>
      <c r="AF229" s="2">
        <f t="shared" si="31"/>
        <v>436.1</v>
      </c>
      <c r="AG229" s="2">
        <f t="shared" si="32"/>
        <v>293.79999999999995</v>
      </c>
      <c r="AH229" s="2">
        <f t="shared" si="33"/>
        <v>140.30000000000001</v>
      </c>
      <c r="AI229" s="2">
        <f t="shared" si="34"/>
        <v>998.30000000000007</v>
      </c>
      <c r="AJ229" s="2">
        <f t="shared" si="35"/>
        <v>137.83846153846156</v>
      </c>
      <c r="AK229" s="2">
        <f t="shared" si="36"/>
        <v>145.36666666666667</v>
      </c>
      <c r="AL229" s="2">
        <f t="shared" si="37"/>
        <v>146.89999999999998</v>
      </c>
      <c r="AM229" s="2">
        <f t="shared" si="38"/>
        <v>140.30000000000001</v>
      </c>
      <c r="AN229" s="2">
        <f t="shared" si="39"/>
        <v>142.61428571428573</v>
      </c>
    </row>
    <row r="230" spans="1:40" x14ac:dyDescent="0.3">
      <c r="A230" t="s">
        <v>30</v>
      </c>
      <c r="B230">
        <v>2019</v>
      </c>
      <c r="C230" t="s">
        <v>38</v>
      </c>
      <c r="D230" s="2">
        <v>137.80000000000001</v>
      </c>
      <c r="E230" s="2">
        <v>163.5</v>
      </c>
      <c r="F230" s="2">
        <v>136.19999999999999</v>
      </c>
      <c r="G230" s="2">
        <v>143.19999999999999</v>
      </c>
      <c r="H230" s="2">
        <v>124.3</v>
      </c>
      <c r="I230" s="2">
        <v>143.30000000000001</v>
      </c>
      <c r="J230" s="2">
        <v>140.6</v>
      </c>
      <c r="K230" s="2">
        <v>128.69999999999999</v>
      </c>
      <c r="L230" s="2">
        <v>110.6</v>
      </c>
      <c r="M230" s="2">
        <v>140.4</v>
      </c>
      <c r="N230" s="2">
        <v>138</v>
      </c>
      <c r="O230" s="2">
        <v>156.6</v>
      </c>
      <c r="P230" s="2">
        <v>141</v>
      </c>
      <c r="Q230" s="2">
        <v>164.2</v>
      </c>
      <c r="R230" s="2">
        <v>151.4</v>
      </c>
      <c r="S230" s="2">
        <v>146.5</v>
      </c>
      <c r="T230" s="2">
        <v>150.69999999999999</v>
      </c>
      <c r="U230" s="2">
        <f>AVERAGE(U231,U232)</f>
        <v>149.4</v>
      </c>
      <c r="V230" s="2">
        <v>147.80000000000001</v>
      </c>
      <c r="W230" s="2">
        <v>149.6</v>
      </c>
      <c r="X230" s="2">
        <v>151.69999999999999</v>
      </c>
      <c r="Y230" s="2">
        <v>130.19999999999999</v>
      </c>
      <c r="Z230" s="2">
        <v>146.4</v>
      </c>
      <c r="AA230" s="2">
        <v>157.69999999999999</v>
      </c>
      <c r="AB230" s="2">
        <v>134.80000000000001</v>
      </c>
      <c r="AC230" s="2">
        <v>143.30000000000001</v>
      </c>
      <c r="AD230" s="2">
        <v>143.6</v>
      </c>
      <c r="AE230" s="2">
        <f t="shared" si="30"/>
        <v>1804.1999999999998</v>
      </c>
      <c r="AF230" s="2">
        <f t="shared" si="31"/>
        <v>448.59999999999997</v>
      </c>
      <c r="AG230" s="2">
        <f t="shared" si="32"/>
        <v>299</v>
      </c>
      <c r="AH230" s="2">
        <f t="shared" si="33"/>
        <v>147.80000000000001</v>
      </c>
      <c r="AI230" s="2">
        <f t="shared" si="34"/>
        <v>1028.3</v>
      </c>
      <c r="AJ230" s="2">
        <f t="shared" si="35"/>
        <v>138.78461538461536</v>
      </c>
      <c r="AK230" s="2">
        <f t="shared" si="36"/>
        <v>149.53333333333333</v>
      </c>
      <c r="AL230" s="2">
        <f t="shared" si="37"/>
        <v>149.5</v>
      </c>
      <c r="AM230" s="2">
        <f t="shared" si="38"/>
        <v>147.80000000000001</v>
      </c>
      <c r="AN230" s="2">
        <f t="shared" si="39"/>
        <v>146.9</v>
      </c>
    </row>
    <row r="231" spans="1:40" x14ac:dyDescent="0.3">
      <c r="A231" t="s">
        <v>32</v>
      </c>
      <c r="B231">
        <v>2019</v>
      </c>
      <c r="C231" t="s">
        <v>38</v>
      </c>
      <c r="D231" s="2">
        <v>140.69999999999999</v>
      </c>
      <c r="E231" s="2">
        <v>159.6</v>
      </c>
      <c r="F231" s="2">
        <v>140.4</v>
      </c>
      <c r="G231" s="2">
        <v>143.4</v>
      </c>
      <c r="H231" s="2">
        <v>118.6</v>
      </c>
      <c r="I231" s="2">
        <v>150.9</v>
      </c>
      <c r="J231" s="2">
        <v>169.8</v>
      </c>
      <c r="K231" s="2">
        <v>127.4</v>
      </c>
      <c r="L231" s="2">
        <v>111.8</v>
      </c>
      <c r="M231" s="2">
        <v>141</v>
      </c>
      <c r="N231" s="2">
        <v>129</v>
      </c>
      <c r="O231" s="2">
        <v>155.1</v>
      </c>
      <c r="P231" s="2">
        <v>145.6</v>
      </c>
      <c r="Q231" s="2">
        <v>166.7</v>
      </c>
      <c r="R231" s="2">
        <v>144.30000000000001</v>
      </c>
      <c r="S231" s="2">
        <v>131.69999999999999</v>
      </c>
      <c r="T231" s="2">
        <v>142.4</v>
      </c>
      <c r="U231" s="2">
        <v>149.4</v>
      </c>
      <c r="V231" s="2">
        <v>130.5</v>
      </c>
      <c r="W231" s="2">
        <v>137.4</v>
      </c>
      <c r="X231" s="2">
        <v>140.30000000000001</v>
      </c>
      <c r="Y231" s="2">
        <v>119.6</v>
      </c>
      <c r="Z231" s="2">
        <v>134.30000000000001</v>
      </c>
      <c r="AA231" s="2">
        <v>148.9</v>
      </c>
      <c r="AB231" s="2">
        <v>133.69999999999999</v>
      </c>
      <c r="AC231" s="2">
        <v>133.6</v>
      </c>
      <c r="AD231" s="2">
        <v>142.1</v>
      </c>
      <c r="AE231" s="2">
        <f t="shared" si="30"/>
        <v>1833.2999999999997</v>
      </c>
      <c r="AF231" s="2">
        <f t="shared" si="31"/>
        <v>418.4</v>
      </c>
      <c r="AG231" s="2">
        <f t="shared" si="32"/>
        <v>286.8</v>
      </c>
      <c r="AH231" s="2">
        <f t="shared" si="33"/>
        <v>130.5</v>
      </c>
      <c r="AI231" s="2">
        <f t="shared" si="34"/>
        <v>977.09999999999991</v>
      </c>
      <c r="AJ231" s="2">
        <f t="shared" si="35"/>
        <v>141.0230769230769</v>
      </c>
      <c r="AK231" s="2">
        <f t="shared" si="36"/>
        <v>139.46666666666667</v>
      </c>
      <c r="AL231" s="2">
        <f t="shared" si="37"/>
        <v>143.4</v>
      </c>
      <c r="AM231" s="2">
        <f t="shared" si="38"/>
        <v>130.5</v>
      </c>
      <c r="AN231" s="2">
        <f t="shared" si="39"/>
        <v>139.58571428571426</v>
      </c>
    </row>
    <row r="232" spans="1:40" x14ac:dyDescent="0.3">
      <c r="A232" t="s">
        <v>33</v>
      </c>
      <c r="B232">
        <v>2019</v>
      </c>
      <c r="C232" t="s">
        <v>38</v>
      </c>
      <c r="D232" s="2">
        <v>138.69999999999999</v>
      </c>
      <c r="E232" s="2">
        <v>162.1</v>
      </c>
      <c r="F232" s="2">
        <v>137.80000000000001</v>
      </c>
      <c r="G232" s="2">
        <v>143.30000000000001</v>
      </c>
      <c r="H232" s="2">
        <v>122.2</v>
      </c>
      <c r="I232" s="2">
        <v>146.80000000000001</v>
      </c>
      <c r="J232" s="2">
        <v>150.5</v>
      </c>
      <c r="K232" s="2">
        <v>128.30000000000001</v>
      </c>
      <c r="L232" s="2">
        <v>111</v>
      </c>
      <c r="M232" s="2">
        <v>140.6</v>
      </c>
      <c r="N232" s="2">
        <v>134.19999999999999</v>
      </c>
      <c r="O232" s="2">
        <v>155.9</v>
      </c>
      <c r="P232" s="2">
        <v>142.69999999999999</v>
      </c>
      <c r="Q232" s="2">
        <v>164.9</v>
      </c>
      <c r="R232" s="2">
        <v>148.6</v>
      </c>
      <c r="S232" s="2">
        <v>140.4</v>
      </c>
      <c r="T232" s="2">
        <v>147.4</v>
      </c>
      <c r="U232" s="2">
        <v>149.4</v>
      </c>
      <c r="V232" s="2">
        <v>141.19999999999999</v>
      </c>
      <c r="W232" s="2">
        <v>143.80000000000001</v>
      </c>
      <c r="X232" s="2">
        <v>147.4</v>
      </c>
      <c r="Y232" s="2">
        <v>124.6</v>
      </c>
      <c r="Z232" s="2">
        <v>139.6</v>
      </c>
      <c r="AA232" s="2">
        <v>152.5</v>
      </c>
      <c r="AB232" s="2">
        <v>134.30000000000001</v>
      </c>
      <c r="AC232" s="2">
        <v>138.6</v>
      </c>
      <c r="AD232" s="2">
        <v>142.9</v>
      </c>
      <c r="AE232" s="2">
        <f t="shared" si="30"/>
        <v>1814.1000000000001</v>
      </c>
      <c r="AF232" s="2">
        <f t="shared" si="31"/>
        <v>436.4</v>
      </c>
      <c r="AG232" s="2">
        <f t="shared" si="32"/>
        <v>293.20000000000005</v>
      </c>
      <c r="AH232" s="2">
        <f t="shared" si="33"/>
        <v>141.19999999999999</v>
      </c>
      <c r="AI232" s="2">
        <f t="shared" si="34"/>
        <v>1001.9000000000001</v>
      </c>
      <c r="AJ232" s="2">
        <f t="shared" si="35"/>
        <v>139.54615384615386</v>
      </c>
      <c r="AK232" s="2">
        <f t="shared" si="36"/>
        <v>145.46666666666667</v>
      </c>
      <c r="AL232" s="2">
        <f t="shared" si="37"/>
        <v>146.60000000000002</v>
      </c>
      <c r="AM232" s="2">
        <f t="shared" si="38"/>
        <v>141.19999999999999</v>
      </c>
      <c r="AN232" s="2">
        <f t="shared" si="39"/>
        <v>143.12857142857143</v>
      </c>
    </row>
    <row r="233" spans="1:40" x14ac:dyDescent="0.3">
      <c r="A233" t="s">
        <v>30</v>
      </c>
      <c r="B233">
        <v>2019</v>
      </c>
      <c r="C233" t="s">
        <v>39</v>
      </c>
      <c r="D233" s="2">
        <v>138.4</v>
      </c>
      <c r="E233" s="2">
        <v>164</v>
      </c>
      <c r="F233" s="2">
        <v>138.4</v>
      </c>
      <c r="G233" s="2">
        <v>143.9</v>
      </c>
      <c r="H233" s="2">
        <v>124.4</v>
      </c>
      <c r="I233" s="2">
        <v>146.4</v>
      </c>
      <c r="J233" s="2">
        <v>150.1</v>
      </c>
      <c r="K233" s="2">
        <v>130.6</v>
      </c>
      <c r="L233" s="2">
        <v>110.8</v>
      </c>
      <c r="M233" s="2">
        <v>141.69999999999999</v>
      </c>
      <c r="N233" s="2">
        <v>138.5</v>
      </c>
      <c r="O233" s="2">
        <v>156.69999999999999</v>
      </c>
      <c r="P233" s="2">
        <v>143</v>
      </c>
      <c r="Q233" s="2">
        <v>164.5</v>
      </c>
      <c r="R233" s="2">
        <v>151.6</v>
      </c>
      <c r="S233" s="2">
        <v>146.6</v>
      </c>
      <c r="T233" s="2">
        <v>150.9</v>
      </c>
      <c r="U233" s="2">
        <f>AVERAGE(U234,U235)</f>
        <v>150.6</v>
      </c>
      <c r="V233" s="2">
        <v>146.80000000000001</v>
      </c>
      <c r="W233" s="2">
        <v>150</v>
      </c>
      <c r="X233" s="2">
        <v>152.19999999999999</v>
      </c>
      <c r="Y233" s="2">
        <v>131.19999999999999</v>
      </c>
      <c r="Z233" s="2">
        <v>147.5</v>
      </c>
      <c r="AA233" s="2">
        <v>159.1</v>
      </c>
      <c r="AB233" s="2">
        <v>136.1</v>
      </c>
      <c r="AC233" s="2">
        <v>144.19999999999999</v>
      </c>
      <c r="AD233" s="2">
        <v>144.9</v>
      </c>
      <c r="AE233" s="2">
        <f t="shared" si="30"/>
        <v>1826.8999999999999</v>
      </c>
      <c r="AF233" s="2">
        <f t="shared" si="31"/>
        <v>449.1</v>
      </c>
      <c r="AG233" s="2">
        <f t="shared" si="32"/>
        <v>300.60000000000002</v>
      </c>
      <c r="AH233" s="2">
        <f t="shared" si="33"/>
        <v>146.80000000000001</v>
      </c>
      <c r="AI233" s="2">
        <f t="shared" si="34"/>
        <v>1034.8</v>
      </c>
      <c r="AJ233" s="2">
        <f t="shared" si="35"/>
        <v>140.53076923076921</v>
      </c>
      <c r="AK233" s="2">
        <f t="shared" si="36"/>
        <v>149.70000000000002</v>
      </c>
      <c r="AL233" s="2">
        <f t="shared" si="37"/>
        <v>150.30000000000001</v>
      </c>
      <c r="AM233" s="2">
        <f t="shared" si="38"/>
        <v>146.80000000000001</v>
      </c>
      <c r="AN233" s="2">
        <f t="shared" si="39"/>
        <v>147.82857142857142</v>
      </c>
    </row>
    <row r="234" spans="1:40" x14ac:dyDescent="0.3">
      <c r="A234" t="s">
        <v>32</v>
      </c>
      <c r="B234">
        <v>2019</v>
      </c>
      <c r="C234" t="s">
        <v>39</v>
      </c>
      <c r="D234" s="2">
        <v>141.4</v>
      </c>
      <c r="E234" s="2">
        <v>160.19999999999999</v>
      </c>
      <c r="F234" s="2">
        <v>142.5</v>
      </c>
      <c r="G234" s="2">
        <v>144.1</v>
      </c>
      <c r="H234" s="2">
        <v>119.3</v>
      </c>
      <c r="I234" s="2">
        <v>154.69999999999999</v>
      </c>
      <c r="J234" s="2">
        <v>180.1</v>
      </c>
      <c r="K234" s="2">
        <v>128.9</v>
      </c>
      <c r="L234" s="2">
        <v>111.8</v>
      </c>
      <c r="M234" s="2">
        <v>141.6</v>
      </c>
      <c r="N234" s="2">
        <v>129.5</v>
      </c>
      <c r="O234" s="2">
        <v>155.6</v>
      </c>
      <c r="P234" s="2">
        <v>147.69999999999999</v>
      </c>
      <c r="Q234" s="2">
        <v>167.2</v>
      </c>
      <c r="R234" s="2">
        <v>144.69999999999999</v>
      </c>
      <c r="S234" s="2">
        <v>131.9</v>
      </c>
      <c r="T234" s="2">
        <v>142.69999999999999</v>
      </c>
      <c r="U234" s="2">
        <v>150.6</v>
      </c>
      <c r="V234" s="2">
        <v>127</v>
      </c>
      <c r="W234" s="2">
        <v>137.69999999999999</v>
      </c>
      <c r="X234" s="2">
        <v>140.80000000000001</v>
      </c>
      <c r="Y234" s="2">
        <v>120.6</v>
      </c>
      <c r="Z234" s="2">
        <v>135</v>
      </c>
      <c r="AA234" s="2">
        <v>150.4</v>
      </c>
      <c r="AB234" s="2">
        <v>135.1</v>
      </c>
      <c r="AC234" s="2">
        <v>134.5</v>
      </c>
      <c r="AD234" s="2">
        <v>143.30000000000001</v>
      </c>
      <c r="AE234" s="2">
        <f t="shared" si="30"/>
        <v>1857.3999999999999</v>
      </c>
      <c r="AF234" s="2">
        <f t="shared" si="31"/>
        <v>419.3</v>
      </c>
      <c r="AG234" s="2">
        <f t="shared" si="32"/>
        <v>288.29999999999995</v>
      </c>
      <c r="AH234" s="2">
        <f t="shared" si="33"/>
        <v>127</v>
      </c>
      <c r="AI234" s="2">
        <f t="shared" si="34"/>
        <v>983.59999999999991</v>
      </c>
      <c r="AJ234" s="2">
        <f t="shared" si="35"/>
        <v>142.87692307692308</v>
      </c>
      <c r="AK234" s="2">
        <f t="shared" si="36"/>
        <v>139.76666666666668</v>
      </c>
      <c r="AL234" s="2">
        <f t="shared" si="37"/>
        <v>144.14999999999998</v>
      </c>
      <c r="AM234" s="2">
        <f t="shared" si="38"/>
        <v>127</v>
      </c>
      <c r="AN234" s="2">
        <f t="shared" si="39"/>
        <v>140.51428571428571</v>
      </c>
    </row>
    <row r="235" spans="1:40" x14ac:dyDescent="0.3">
      <c r="A235" t="s">
        <v>33</v>
      </c>
      <c r="B235">
        <v>2019</v>
      </c>
      <c r="C235" t="s">
        <v>39</v>
      </c>
      <c r="D235" s="2">
        <v>139.30000000000001</v>
      </c>
      <c r="E235" s="2">
        <v>162.69999999999999</v>
      </c>
      <c r="F235" s="2">
        <v>140</v>
      </c>
      <c r="G235" s="2">
        <v>144</v>
      </c>
      <c r="H235" s="2">
        <v>122.5</v>
      </c>
      <c r="I235" s="2">
        <v>150.30000000000001</v>
      </c>
      <c r="J235" s="2">
        <v>160.30000000000001</v>
      </c>
      <c r="K235" s="2">
        <v>130</v>
      </c>
      <c r="L235" s="2">
        <v>111.1</v>
      </c>
      <c r="M235" s="2">
        <v>141.69999999999999</v>
      </c>
      <c r="N235" s="2">
        <v>134.69999999999999</v>
      </c>
      <c r="O235" s="2">
        <v>156.19999999999999</v>
      </c>
      <c r="P235" s="2">
        <v>144.69999999999999</v>
      </c>
      <c r="Q235" s="2">
        <v>165.2</v>
      </c>
      <c r="R235" s="2">
        <v>148.9</v>
      </c>
      <c r="S235" s="2">
        <v>140.5</v>
      </c>
      <c r="T235" s="2">
        <v>147.6</v>
      </c>
      <c r="U235" s="2">
        <v>150.6</v>
      </c>
      <c r="V235" s="2">
        <v>139.30000000000001</v>
      </c>
      <c r="W235" s="2">
        <v>144.19999999999999</v>
      </c>
      <c r="X235" s="2">
        <v>147.9</v>
      </c>
      <c r="Y235" s="2">
        <v>125.6</v>
      </c>
      <c r="Z235" s="2">
        <v>140.5</v>
      </c>
      <c r="AA235" s="2">
        <v>154</v>
      </c>
      <c r="AB235" s="2">
        <v>135.69999999999999</v>
      </c>
      <c r="AC235" s="2">
        <v>139.5</v>
      </c>
      <c r="AD235" s="2">
        <v>144.19999999999999</v>
      </c>
      <c r="AE235" s="2">
        <f t="shared" si="30"/>
        <v>1837.5</v>
      </c>
      <c r="AF235" s="2">
        <f t="shared" si="31"/>
        <v>437</v>
      </c>
      <c r="AG235" s="2">
        <f t="shared" si="32"/>
        <v>294.79999999999995</v>
      </c>
      <c r="AH235" s="2">
        <f t="shared" si="33"/>
        <v>139.30000000000001</v>
      </c>
      <c r="AI235" s="2">
        <f t="shared" si="34"/>
        <v>1008.4000000000001</v>
      </c>
      <c r="AJ235" s="2">
        <f t="shared" si="35"/>
        <v>141.34615384615384</v>
      </c>
      <c r="AK235" s="2">
        <f t="shared" si="36"/>
        <v>145.66666666666666</v>
      </c>
      <c r="AL235" s="2">
        <f t="shared" si="37"/>
        <v>147.39999999999998</v>
      </c>
      <c r="AM235" s="2">
        <f t="shared" si="38"/>
        <v>139.30000000000001</v>
      </c>
      <c r="AN235" s="2">
        <f t="shared" si="39"/>
        <v>144.05714285714288</v>
      </c>
    </row>
    <row r="236" spans="1:40" x14ac:dyDescent="0.3">
      <c r="A236" t="s">
        <v>30</v>
      </c>
      <c r="B236">
        <v>2019</v>
      </c>
      <c r="C236" t="s">
        <v>40</v>
      </c>
      <c r="D236" s="2">
        <v>139.19999999999999</v>
      </c>
      <c r="E236" s="2">
        <v>161.9</v>
      </c>
      <c r="F236" s="2">
        <v>137.1</v>
      </c>
      <c r="G236" s="2">
        <v>144.6</v>
      </c>
      <c r="H236" s="2">
        <v>124.7</v>
      </c>
      <c r="I236" s="2">
        <v>145.5</v>
      </c>
      <c r="J236" s="2">
        <v>156.19999999999999</v>
      </c>
      <c r="K236" s="2">
        <v>131.5</v>
      </c>
      <c r="L236" s="2">
        <v>111.7</v>
      </c>
      <c r="M236" s="2">
        <v>142.69999999999999</v>
      </c>
      <c r="N236" s="2">
        <v>138.5</v>
      </c>
      <c r="O236" s="2">
        <v>156.9</v>
      </c>
      <c r="P236" s="2">
        <v>144</v>
      </c>
      <c r="Q236" s="2">
        <v>165.1</v>
      </c>
      <c r="R236" s="2">
        <v>151.80000000000001</v>
      </c>
      <c r="S236" s="2">
        <v>146.6</v>
      </c>
      <c r="T236" s="2">
        <v>151.1</v>
      </c>
      <c r="U236" s="2">
        <f>AVERAGE(U237,U238)</f>
        <v>151.6</v>
      </c>
      <c r="V236" s="2">
        <v>146.4</v>
      </c>
      <c r="W236" s="2">
        <v>150.19999999999999</v>
      </c>
      <c r="X236" s="2">
        <v>152.69999999999999</v>
      </c>
      <c r="Y236" s="2">
        <v>131.4</v>
      </c>
      <c r="Z236" s="2">
        <v>148</v>
      </c>
      <c r="AA236" s="2">
        <v>159.69999999999999</v>
      </c>
      <c r="AB236" s="2">
        <v>138.80000000000001</v>
      </c>
      <c r="AC236" s="2">
        <v>144.9</v>
      </c>
      <c r="AD236" s="2">
        <v>145.69999999999999</v>
      </c>
      <c r="AE236" s="2">
        <f t="shared" si="30"/>
        <v>1834.5000000000002</v>
      </c>
      <c r="AF236" s="2">
        <f t="shared" si="31"/>
        <v>449.5</v>
      </c>
      <c r="AG236" s="2">
        <f t="shared" si="32"/>
        <v>301.79999999999995</v>
      </c>
      <c r="AH236" s="2">
        <f t="shared" si="33"/>
        <v>146.4</v>
      </c>
      <c r="AI236" s="2">
        <f t="shared" si="34"/>
        <v>1040.5999999999999</v>
      </c>
      <c r="AJ236" s="2">
        <f t="shared" si="35"/>
        <v>141.11538461538464</v>
      </c>
      <c r="AK236" s="2">
        <f t="shared" si="36"/>
        <v>149.83333333333334</v>
      </c>
      <c r="AL236" s="2">
        <f t="shared" si="37"/>
        <v>150.89999999999998</v>
      </c>
      <c r="AM236" s="2">
        <f t="shared" si="38"/>
        <v>146.4</v>
      </c>
      <c r="AN236" s="2">
        <f t="shared" si="39"/>
        <v>148.65714285714284</v>
      </c>
    </row>
    <row r="237" spans="1:40" x14ac:dyDescent="0.3">
      <c r="A237" t="s">
        <v>32</v>
      </c>
      <c r="B237">
        <v>2019</v>
      </c>
      <c r="C237" t="s">
        <v>40</v>
      </c>
      <c r="D237" s="2">
        <v>142.1</v>
      </c>
      <c r="E237" s="2">
        <v>158.30000000000001</v>
      </c>
      <c r="F237" s="2">
        <v>140.80000000000001</v>
      </c>
      <c r="G237" s="2">
        <v>144.9</v>
      </c>
      <c r="H237" s="2">
        <v>119.9</v>
      </c>
      <c r="I237" s="2">
        <v>153.9</v>
      </c>
      <c r="J237" s="2">
        <v>189.1</v>
      </c>
      <c r="K237" s="2">
        <v>129.80000000000001</v>
      </c>
      <c r="L237" s="2">
        <v>112.7</v>
      </c>
      <c r="M237" s="2">
        <v>142.5</v>
      </c>
      <c r="N237" s="2">
        <v>129.80000000000001</v>
      </c>
      <c r="O237" s="2">
        <v>156.19999999999999</v>
      </c>
      <c r="P237" s="2">
        <v>149.1</v>
      </c>
      <c r="Q237" s="2">
        <v>167.9</v>
      </c>
      <c r="R237" s="2">
        <v>145</v>
      </c>
      <c r="S237" s="2">
        <v>132.19999999999999</v>
      </c>
      <c r="T237" s="2">
        <v>143</v>
      </c>
      <c r="U237" s="2">
        <v>151.6</v>
      </c>
      <c r="V237" s="2">
        <v>125.5</v>
      </c>
      <c r="W237" s="2">
        <v>138.1</v>
      </c>
      <c r="X237" s="2">
        <v>141.5</v>
      </c>
      <c r="Y237" s="2">
        <v>120.8</v>
      </c>
      <c r="Z237" s="2">
        <v>135.4</v>
      </c>
      <c r="AA237" s="2">
        <v>151.5</v>
      </c>
      <c r="AB237" s="2">
        <v>137.80000000000001</v>
      </c>
      <c r="AC237" s="2">
        <v>135.30000000000001</v>
      </c>
      <c r="AD237" s="2">
        <v>144.19999999999999</v>
      </c>
      <c r="AE237" s="2">
        <f t="shared" si="30"/>
        <v>1869.1</v>
      </c>
      <c r="AF237" s="2">
        <f t="shared" si="31"/>
        <v>420.2</v>
      </c>
      <c r="AG237" s="2">
        <f t="shared" si="32"/>
        <v>289.7</v>
      </c>
      <c r="AH237" s="2">
        <f t="shared" si="33"/>
        <v>125.5</v>
      </c>
      <c r="AI237" s="2">
        <f t="shared" si="34"/>
        <v>990.19999999999993</v>
      </c>
      <c r="AJ237" s="2">
        <f t="shared" si="35"/>
        <v>143.77692307692308</v>
      </c>
      <c r="AK237" s="2">
        <f t="shared" si="36"/>
        <v>140.06666666666666</v>
      </c>
      <c r="AL237" s="2">
        <f t="shared" si="37"/>
        <v>144.85</v>
      </c>
      <c r="AM237" s="2">
        <f t="shared" si="38"/>
        <v>125.5</v>
      </c>
      <c r="AN237" s="2">
        <f t="shared" si="39"/>
        <v>141.45714285714286</v>
      </c>
    </row>
    <row r="238" spans="1:40" x14ac:dyDescent="0.3">
      <c r="A238" t="s">
        <v>33</v>
      </c>
      <c r="B238">
        <v>2019</v>
      </c>
      <c r="C238" t="s">
        <v>40</v>
      </c>
      <c r="D238" s="2">
        <v>140.1</v>
      </c>
      <c r="E238" s="2">
        <v>160.6</v>
      </c>
      <c r="F238" s="2">
        <v>138.5</v>
      </c>
      <c r="G238" s="2">
        <v>144.69999999999999</v>
      </c>
      <c r="H238" s="2">
        <v>122.9</v>
      </c>
      <c r="I238" s="2">
        <v>149.4</v>
      </c>
      <c r="J238" s="2">
        <v>167.4</v>
      </c>
      <c r="K238" s="2">
        <v>130.9</v>
      </c>
      <c r="L238" s="2">
        <v>112</v>
      </c>
      <c r="M238" s="2">
        <v>142.6</v>
      </c>
      <c r="N238" s="2">
        <v>134.9</v>
      </c>
      <c r="O238" s="2">
        <v>156.6</v>
      </c>
      <c r="P238" s="2">
        <v>145.9</v>
      </c>
      <c r="Q238" s="2">
        <v>165.8</v>
      </c>
      <c r="R238" s="2">
        <v>149.1</v>
      </c>
      <c r="S238" s="2">
        <v>140.6</v>
      </c>
      <c r="T238" s="2">
        <v>147.9</v>
      </c>
      <c r="U238" s="2">
        <v>151.6</v>
      </c>
      <c r="V238" s="2">
        <v>138.5</v>
      </c>
      <c r="W238" s="2">
        <v>144.5</v>
      </c>
      <c r="X238" s="2">
        <v>148.5</v>
      </c>
      <c r="Y238" s="2">
        <v>125.8</v>
      </c>
      <c r="Z238" s="2">
        <v>140.9</v>
      </c>
      <c r="AA238" s="2">
        <v>154.9</v>
      </c>
      <c r="AB238" s="2">
        <v>138.4</v>
      </c>
      <c r="AC238" s="2">
        <v>140.19999999999999</v>
      </c>
      <c r="AD238" s="2">
        <v>145</v>
      </c>
      <c r="AE238" s="2">
        <f t="shared" si="30"/>
        <v>1846.5</v>
      </c>
      <c r="AF238" s="2">
        <f t="shared" si="31"/>
        <v>437.6</v>
      </c>
      <c r="AG238" s="2">
        <f t="shared" si="32"/>
        <v>296.10000000000002</v>
      </c>
      <c r="AH238" s="2">
        <f t="shared" si="33"/>
        <v>138.5</v>
      </c>
      <c r="AI238" s="2">
        <f t="shared" si="34"/>
        <v>1014.5</v>
      </c>
      <c r="AJ238" s="2">
        <f t="shared" si="35"/>
        <v>142.03846153846155</v>
      </c>
      <c r="AK238" s="2">
        <f t="shared" si="36"/>
        <v>145.86666666666667</v>
      </c>
      <c r="AL238" s="2">
        <f t="shared" si="37"/>
        <v>148.05000000000001</v>
      </c>
      <c r="AM238" s="2">
        <f t="shared" si="38"/>
        <v>138.5</v>
      </c>
      <c r="AN238" s="2">
        <f t="shared" si="39"/>
        <v>144.92857142857142</v>
      </c>
    </row>
    <row r="239" spans="1:40" x14ac:dyDescent="0.3">
      <c r="A239" t="s">
        <v>30</v>
      </c>
      <c r="B239">
        <v>2019</v>
      </c>
      <c r="C239" t="s">
        <v>41</v>
      </c>
      <c r="D239" s="2">
        <v>140.1</v>
      </c>
      <c r="E239" s="2">
        <v>161.9</v>
      </c>
      <c r="F239" s="2">
        <v>138.30000000000001</v>
      </c>
      <c r="G239" s="2">
        <v>145.69999999999999</v>
      </c>
      <c r="H239" s="2">
        <v>125.1</v>
      </c>
      <c r="I239" s="2">
        <v>143.80000000000001</v>
      </c>
      <c r="J239" s="2">
        <v>163.4</v>
      </c>
      <c r="K239" s="2">
        <v>132.19999999999999</v>
      </c>
      <c r="L239" s="2">
        <v>112.8</v>
      </c>
      <c r="M239" s="2">
        <v>144.19999999999999</v>
      </c>
      <c r="N239" s="2">
        <v>138.5</v>
      </c>
      <c r="O239" s="2">
        <v>157.19999999999999</v>
      </c>
      <c r="P239" s="2">
        <v>145.5</v>
      </c>
      <c r="Q239" s="2">
        <v>165.7</v>
      </c>
      <c r="R239" s="2">
        <v>151.69999999999999</v>
      </c>
      <c r="S239" s="2">
        <v>146.6</v>
      </c>
      <c r="T239" s="2">
        <v>151</v>
      </c>
      <c r="U239" s="2">
        <f>AVERAGE(U240,U241)</f>
        <v>152.19999999999999</v>
      </c>
      <c r="V239" s="2">
        <v>146.9</v>
      </c>
      <c r="W239" s="2">
        <v>150.30000000000001</v>
      </c>
      <c r="X239" s="2">
        <v>153.4</v>
      </c>
      <c r="Y239" s="2">
        <v>131.6</v>
      </c>
      <c r="Z239" s="2">
        <v>148.30000000000001</v>
      </c>
      <c r="AA239" s="2">
        <v>160.19999999999999</v>
      </c>
      <c r="AB239" s="2">
        <v>140.19999999999999</v>
      </c>
      <c r="AC239" s="2">
        <v>145.4</v>
      </c>
      <c r="AD239" s="2">
        <v>146.69999999999999</v>
      </c>
      <c r="AE239" s="2">
        <f t="shared" si="30"/>
        <v>1848.7</v>
      </c>
      <c r="AF239" s="2">
        <f t="shared" si="31"/>
        <v>449.29999999999995</v>
      </c>
      <c r="AG239" s="2">
        <f t="shared" si="32"/>
        <v>302.5</v>
      </c>
      <c r="AH239" s="2">
        <f t="shared" si="33"/>
        <v>146.9</v>
      </c>
      <c r="AI239" s="2">
        <f t="shared" si="34"/>
        <v>1044.8</v>
      </c>
      <c r="AJ239" s="2">
        <f t="shared" si="35"/>
        <v>142.2076923076923</v>
      </c>
      <c r="AK239" s="2">
        <f t="shared" si="36"/>
        <v>149.76666666666665</v>
      </c>
      <c r="AL239" s="2">
        <f t="shared" si="37"/>
        <v>151.25</v>
      </c>
      <c r="AM239" s="2">
        <f t="shared" si="38"/>
        <v>146.9</v>
      </c>
      <c r="AN239" s="2">
        <f t="shared" si="39"/>
        <v>149.25714285714284</v>
      </c>
    </row>
    <row r="240" spans="1:40" x14ac:dyDescent="0.3">
      <c r="A240" t="s">
        <v>32</v>
      </c>
      <c r="B240">
        <v>2019</v>
      </c>
      <c r="C240" t="s">
        <v>41</v>
      </c>
      <c r="D240" s="2">
        <v>142.69999999999999</v>
      </c>
      <c r="E240" s="2">
        <v>158.69999999999999</v>
      </c>
      <c r="F240" s="2">
        <v>141.6</v>
      </c>
      <c r="G240" s="2">
        <v>144.9</v>
      </c>
      <c r="H240" s="2">
        <v>120.8</v>
      </c>
      <c r="I240" s="2">
        <v>149.80000000000001</v>
      </c>
      <c r="J240" s="2">
        <v>192.4</v>
      </c>
      <c r="K240" s="2">
        <v>130.30000000000001</v>
      </c>
      <c r="L240" s="2">
        <v>114</v>
      </c>
      <c r="M240" s="2">
        <v>143.80000000000001</v>
      </c>
      <c r="N240" s="2">
        <v>130</v>
      </c>
      <c r="O240" s="2">
        <v>156.4</v>
      </c>
      <c r="P240" s="2">
        <v>149.5</v>
      </c>
      <c r="Q240" s="2">
        <v>168.6</v>
      </c>
      <c r="R240" s="2">
        <v>145.30000000000001</v>
      </c>
      <c r="S240" s="2">
        <v>132.19999999999999</v>
      </c>
      <c r="T240" s="2">
        <v>143.30000000000001</v>
      </c>
      <c r="U240" s="2">
        <v>152.19999999999999</v>
      </c>
      <c r="V240" s="2">
        <v>126.6</v>
      </c>
      <c r="W240" s="2">
        <v>138.30000000000001</v>
      </c>
      <c r="X240" s="2">
        <v>141.9</v>
      </c>
      <c r="Y240" s="2">
        <v>121.2</v>
      </c>
      <c r="Z240" s="2">
        <v>135.9</v>
      </c>
      <c r="AA240" s="2">
        <v>151.6</v>
      </c>
      <c r="AB240" s="2">
        <v>139</v>
      </c>
      <c r="AC240" s="2">
        <v>135.69999999999999</v>
      </c>
      <c r="AD240" s="2">
        <v>144.69999999999999</v>
      </c>
      <c r="AE240" s="2">
        <f t="shared" si="30"/>
        <v>1874.9</v>
      </c>
      <c r="AF240" s="2">
        <f t="shared" si="31"/>
        <v>420.8</v>
      </c>
      <c r="AG240" s="2">
        <f t="shared" si="32"/>
        <v>290.5</v>
      </c>
      <c r="AH240" s="2">
        <f t="shared" si="33"/>
        <v>126.6</v>
      </c>
      <c r="AI240" s="2">
        <f t="shared" si="34"/>
        <v>993.9</v>
      </c>
      <c r="AJ240" s="2">
        <f t="shared" si="35"/>
        <v>144.22307692307692</v>
      </c>
      <c r="AK240" s="2">
        <f t="shared" si="36"/>
        <v>140.26666666666668</v>
      </c>
      <c r="AL240" s="2">
        <f t="shared" si="37"/>
        <v>145.25</v>
      </c>
      <c r="AM240" s="2">
        <f t="shared" si="38"/>
        <v>126.6</v>
      </c>
      <c r="AN240" s="2">
        <f t="shared" si="39"/>
        <v>141.98571428571429</v>
      </c>
    </row>
    <row r="241" spans="1:40" x14ac:dyDescent="0.3">
      <c r="A241" t="s">
        <v>33</v>
      </c>
      <c r="B241">
        <v>2019</v>
      </c>
      <c r="C241" t="s">
        <v>41</v>
      </c>
      <c r="D241" s="2">
        <v>140.9</v>
      </c>
      <c r="E241" s="2">
        <v>160.80000000000001</v>
      </c>
      <c r="F241" s="2">
        <v>139.6</v>
      </c>
      <c r="G241" s="2">
        <v>145.4</v>
      </c>
      <c r="H241" s="2">
        <v>123.5</v>
      </c>
      <c r="I241" s="2">
        <v>146.6</v>
      </c>
      <c r="J241" s="2">
        <v>173.2</v>
      </c>
      <c r="K241" s="2">
        <v>131.6</v>
      </c>
      <c r="L241" s="2">
        <v>113.2</v>
      </c>
      <c r="M241" s="2">
        <v>144.1</v>
      </c>
      <c r="N241" s="2">
        <v>135</v>
      </c>
      <c r="O241" s="2">
        <v>156.80000000000001</v>
      </c>
      <c r="P241" s="2">
        <v>147</v>
      </c>
      <c r="Q241" s="2">
        <v>166.5</v>
      </c>
      <c r="R241" s="2">
        <v>149.19999999999999</v>
      </c>
      <c r="S241" s="2">
        <v>140.6</v>
      </c>
      <c r="T241" s="2">
        <v>147.9</v>
      </c>
      <c r="U241" s="2">
        <v>152.19999999999999</v>
      </c>
      <c r="V241" s="2">
        <v>139.19999999999999</v>
      </c>
      <c r="W241" s="2">
        <v>144.6</v>
      </c>
      <c r="X241" s="2">
        <v>149</v>
      </c>
      <c r="Y241" s="2">
        <v>126.1</v>
      </c>
      <c r="Z241" s="2">
        <v>141.30000000000001</v>
      </c>
      <c r="AA241" s="2">
        <v>155.19999999999999</v>
      </c>
      <c r="AB241" s="2">
        <v>139.69999999999999</v>
      </c>
      <c r="AC241" s="2">
        <v>140.69999999999999</v>
      </c>
      <c r="AD241" s="2">
        <v>145.80000000000001</v>
      </c>
      <c r="AE241" s="2">
        <f t="shared" si="30"/>
        <v>1857.6999999999998</v>
      </c>
      <c r="AF241" s="2">
        <f t="shared" si="31"/>
        <v>437.69999999999993</v>
      </c>
      <c r="AG241" s="2">
        <f t="shared" si="32"/>
        <v>296.79999999999995</v>
      </c>
      <c r="AH241" s="2">
        <f t="shared" si="33"/>
        <v>139.19999999999999</v>
      </c>
      <c r="AI241" s="2">
        <f t="shared" si="34"/>
        <v>1018.5</v>
      </c>
      <c r="AJ241" s="2">
        <f t="shared" si="35"/>
        <v>142.89999999999998</v>
      </c>
      <c r="AK241" s="2">
        <f t="shared" si="36"/>
        <v>145.89999999999998</v>
      </c>
      <c r="AL241" s="2">
        <f t="shared" si="37"/>
        <v>148.39999999999998</v>
      </c>
      <c r="AM241" s="2">
        <f t="shared" si="38"/>
        <v>139.19999999999999</v>
      </c>
      <c r="AN241" s="2">
        <f t="shared" si="39"/>
        <v>145.5</v>
      </c>
    </row>
    <row r="242" spans="1:40" x14ac:dyDescent="0.3">
      <c r="A242" t="s">
        <v>30</v>
      </c>
      <c r="B242">
        <v>2019</v>
      </c>
      <c r="C242" t="s">
        <v>42</v>
      </c>
      <c r="D242" s="2">
        <v>141</v>
      </c>
      <c r="E242" s="2">
        <v>161.6</v>
      </c>
      <c r="F242" s="2">
        <v>141.19999999999999</v>
      </c>
      <c r="G242" s="2">
        <v>146.5</v>
      </c>
      <c r="H242" s="2">
        <v>125.6</v>
      </c>
      <c r="I242" s="2">
        <v>145.69999999999999</v>
      </c>
      <c r="J242" s="2">
        <v>178.8</v>
      </c>
      <c r="K242" s="2">
        <v>133.1</v>
      </c>
      <c r="L242" s="2">
        <v>113.6</v>
      </c>
      <c r="M242" s="2">
        <v>145.5</v>
      </c>
      <c r="N242" s="2">
        <v>138.6</v>
      </c>
      <c r="O242" s="2">
        <v>157.4</v>
      </c>
      <c r="P242" s="2">
        <v>148.30000000000001</v>
      </c>
      <c r="Q242" s="2">
        <v>166.3</v>
      </c>
      <c r="R242" s="2">
        <v>151.69999999999999</v>
      </c>
      <c r="S242" s="2">
        <v>146.69999999999999</v>
      </c>
      <c r="T242" s="2">
        <v>151</v>
      </c>
      <c r="U242" s="2">
        <f>AVERAGE(U243,U244)</f>
        <v>153</v>
      </c>
      <c r="V242" s="2">
        <v>147.69999999999999</v>
      </c>
      <c r="W242" s="2">
        <v>150.6</v>
      </c>
      <c r="X242" s="2">
        <v>153.69999999999999</v>
      </c>
      <c r="Y242" s="2">
        <v>131.69999999999999</v>
      </c>
      <c r="Z242" s="2">
        <v>148.69999999999999</v>
      </c>
      <c r="AA242" s="2">
        <v>160.69999999999999</v>
      </c>
      <c r="AB242" s="2">
        <v>140.30000000000001</v>
      </c>
      <c r="AC242" s="2">
        <v>145.69999999999999</v>
      </c>
      <c r="AD242" s="2">
        <v>148.30000000000001</v>
      </c>
      <c r="AE242" s="2">
        <f t="shared" si="30"/>
        <v>1876.8999999999996</v>
      </c>
      <c r="AF242" s="2">
        <f t="shared" si="31"/>
        <v>449.4</v>
      </c>
      <c r="AG242" s="2">
        <f t="shared" si="32"/>
        <v>303.60000000000002</v>
      </c>
      <c r="AH242" s="2">
        <f t="shared" si="33"/>
        <v>147.69999999999999</v>
      </c>
      <c r="AI242" s="2">
        <f t="shared" si="34"/>
        <v>1047.0999999999999</v>
      </c>
      <c r="AJ242" s="2">
        <f t="shared" si="35"/>
        <v>144.37692307692305</v>
      </c>
      <c r="AK242" s="2">
        <f t="shared" si="36"/>
        <v>149.79999999999998</v>
      </c>
      <c r="AL242" s="2">
        <f t="shared" si="37"/>
        <v>151.80000000000001</v>
      </c>
      <c r="AM242" s="2">
        <f t="shared" si="38"/>
        <v>147.69999999999999</v>
      </c>
      <c r="AN242" s="2">
        <f t="shared" si="39"/>
        <v>149.58571428571426</v>
      </c>
    </row>
    <row r="243" spans="1:40" x14ac:dyDescent="0.3">
      <c r="A243" t="s">
        <v>32</v>
      </c>
      <c r="B243">
        <v>2019</v>
      </c>
      <c r="C243" t="s">
        <v>42</v>
      </c>
      <c r="D243" s="2">
        <v>143.5</v>
      </c>
      <c r="E243" s="2">
        <v>159.80000000000001</v>
      </c>
      <c r="F243" s="2">
        <v>144.69999999999999</v>
      </c>
      <c r="G243" s="2">
        <v>145.6</v>
      </c>
      <c r="H243" s="2">
        <v>121.1</v>
      </c>
      <c r="I243" s="2">
        <v>150.6</v>
      </c>
      <c r="J243" s="2">
        <v>207.2</v>
      </c>
      <c r="K243" s="2">
        <v>131.19999999999999</v>
      </c>
      <c r="L243" s="2">
        <v>114.8</v>
      </c>
      <c r="M243" s="2">
        <v>145.19999999999999</v>
      </c>
      <c r="N243" s="2">
        <v>130.19999999999999</v>
      </c>
      <c r="O243" s="2">
        <v>156.80000000000001</v>
      </c>
      <c r="P243" s="2">
        <v>151.9</v>
      </c>
      <c r="Q243" s="2">
        <v>169.3</v>
      </c>
      <c r="R243" s="2">
        <v>145.9</v>
      </c>
      <c r="S243" s="2">
        <v>132.4</v>
      </c>
      <c r="T243" s="2">
        <v>143.9</v>
      </c>
      <c r="U243" s="2">
        <v>153</v>
      </c>
      <c r="V243" s="2">
        <v>128.9</v>
      </c>
      <c r="W243" s="2">
        <v>138.69999999999999</v>
      </c>
      <c r="X243" s="2">
        <v>142.4</v>
      </c>
      <c r="Y243" s="2">
        <v>121.5</v>
      </c>
      <c r="Z243" s="2">
        <v>136.19999999999999</v>
      </c>
      <c r="AA243" s="2">
        <v>151.69999999999999</v>
      </c>
      <c r="AB243" s="2">
        <v>139.5</v>
      </c>
      <c r="AC243" s="2">
        <v>136</v>
      </c>
      <c r="AD243" s="2">
        <v>146</v>
      </c>
      <c r="AE243" s="2">
        <f t="shared" si="30"/>
        <v>1902.6000000000001</v>
      </c>
      <c r="AF243" s="2">
        <f t="shared" si="31"/>
        <v>422.20000000000005</v>
      </c>
      <c r="AG243" s="2">
        <f t="shared" si="32"/>
        <v>291.7</v>
      </c>
      <c r="AH243" s="2">
        <f t="shared" si="33"/>
        <v>128.9</v>
      </c>
      <c r="AI243" s="2">
        <f t="shared" si="34"/>
        <v>996.59999999999991</v>
      </c>
      <c r="AJ243" s="2">
        <f t="shared" si="35"/>
        <v>146.35384615384618</v>
      </c>
      <c r="AK243" s="2">
        <f t="shared" si="36"/>
        <v>140.73333333333335</v>
      </c>
      <c r="AL243" s="2">
        <f t="shared" si="37"/>
        <v>145.85</v>
      </c>
      <c r="AM243" s="2">
        <f t="shared" si="38"/>
        <v>128.9</v>
      </c>
      <c r="AN243" s="2">
        <f t="shared" si="39"/>
        <v>142.37142857142857</v>
      </c>
    </row>
    <row r="244" spans="1:40" x14ac:dyDescent="0.3">
      <c r="A244" t="s">
        <v>33</v>
      </c>
      <c r="B244">
        <v>2019</v>
      </c>
      <c r="C244" t="s">
        <v>42</v>
      </c>
      <c r="D244" s="2">
        <v>141.80000000000001</v>
      </c>
      <c r="E244" s="2">
        <v>161</v>
      </c>
      <c r="F244" s="2">
        <v>142.6</v>
      </c>
      <c r="G244" s="2">
        <v>146.19999999999999</v>
      </c>
      <c r="H244" s="2">
        <v>123.9</v>
      </c>
      <c r="I244" s="2">
        <v>148</v>
      </c>
      <c r="J244" s="2">
        <v>188.4</v>
      </c>
      <c r="K244" s="2">
        <v>132.5</v>
      </c>
      <c r="L244" s="2">
        <v>114</v>
      </c>
      <c r="M244" s="2">
        <v>145.4</v>
      </c>
      <c r="N244" s="2">
        <v>135.1</v>
      </c>
      <c r="O244" s="2">
        <v>157.1</v>
      </c>
      <c r="P244" s="2">
        <v>149.6</v>
      </c>
      <c r="Q244" s="2">
        <v>167.1</v>
      </c>
      <c r="R244" s="2">
        <v>149.4</v>
      </c>
      <c r="S244" s="2">
        <v>140.80000000000001</v>
      </c>
      <c r="T244" s="2">
        <v>148.19999999999999</v>
      </c>
      <c r="U244" s="2">
        <v>153</v>
      </c>
      <c r="V244" s="2">
        <v>140.6</v>
      </c>
      <c r="W244" s="2">
        <v>145</v>
      </c>
      <c r="X244" s="2">
        <v>149.4</v>
      </c>
      <c r="Y244" s="2">
        <v>126.3</v>
      </c>
      <c r="Z244" s="2">
        <v>141.69999999999999</v>
      </c>
      <c r="AA244" s="2">
        <v>155.4</v>
      </c>
      <c r="AB244" s="2">
        <v>140</v>
      </c>
      <c r="AC244" s="2">
        <v>141</v>
      </c>
      <c r="AD244" s="2">
        <v>147.19999999999999</v>
      </c>
      <c r="AE244" s="2">
        <f t="shared" si="30"/>
        <v>1885.5999999999997</v>
      </c>
      <c r="AF244" s="2">
        <f t="shared" si="31"/>
        <v>438.40000000000003</v>
      </c>
      <c r="AG244" s="2">
        <f t="shared" si="32"/>
        <v>298</v>
      </c>
      <c r="AH244" s="2">
        <f t="shared" si="33"/>
        <v>140.6</v>
      </c>
      <c r="AI244" s="2">
        <f t="shared" si="34"/>
        <v>1020.9</v>
      </c>
      <c r="AJ244" s="2">
        <f t="shared" si="35"/>
        <v>145.04615384615383</v>
      </c>
      <c r="AK244" s="2">
        <f t="shared" si="36"/>
        <v>146.13333333333335</v>
      </c>
      <c r="AL244" s="2">
        <f t="shared" si="37"/>
        <v>149</v>
      </c>
      <c r="AM244" s="2">
        <f t="shared" si="38"/>
        <v>140.6</v>
      </c>
      <c r="AN244" s="2">
        <f t="shared" si="39"/>
        <v>145.84285714285713</v>
      </c>
    </row>
    <row r="245" spans="1:40" x14ac:dyDescent="0.3">
      <c r="A245" t="s">
        <v>30</v>
      </c>
      <c r="B245">
        <v>2019</v>
      </c>
      <c r="C245" t="s">
        <v>44</v>
      </c>
      <c r="D245" s="2">
        <v>141.80000000000001</v>
      </c>
      <c r="E245" s="2">
        <v>163.69999999999999</v>
      </c>
      <c r="F245" s="2">
        <v>143.80000000000001</v>
      </c>
      <c r="G245" s="2">
        <v>147.1</v>
      </c>
      <c r="H245" s="2">
        <v>126</v>
      </c>
      <c r="I245" s="2">
        <v>146.19999999999999</v>
      </c>
      <c r="J245" s="2">
        <v>191.4</v>
      </c>
      <c r="K245" s="2">
        <v>136.19999999999999</v>
      </c>
      <c r="L245" s="2">
        <v>113.8</v>
      </c>
      <c r="M245" s="2">
        <v>147.30000000000001</v>
      </c>
      <c r="N245" s="2">
        <v>138.69999999999999</v>
      </c>
      <c r="O245" s="2">
        <v>157.69999999999999</v>
      </c>
      <c r="P245" s="2">
        <v>150.9</v>
      </c>
      <c r="Q245" s="2">
        <v>167.2</v>
      </c>
      <c r="R245" s="2">
        <v>152.30000000000001</v>
      </c>
      <c r="S245" s="2">
        <v>147</v>
      </c>
      <c r="T245" s="2">
        <v>151.5</v>
      </c>
      <c r="U245" s="2">
        <f>AVERAGE(U246,U247)</f>
        <v>153.5</v>
      </c>
      <c r="V245" s="2">
        <v>148.4</v>
      </c>
      <c r="W245" s="2">
        <v>150.9</v>
      </c>
      <c r="X245" s="2">
        <v>154.30000000000001</v>
      </c>
      <c r="Y245" s="2">
        <v>132.1</v>
      </c>
      <c r="Z245" s="2">
        <v>149.1</v>
      </c>
      <c r="AA245" s="2">
        <v>160.80000000000001</v>
      </c>
      <c r="AB245" s="2">
        <v>140.6</v>
      </c>
      <c r="AC245" s="2">
        <v>146.1</v>
      </c>
      <c r="AD245" s="2">
        <v>149.9</v>
      </c>
      <c r="AE245" s="2">
        <f t="shared" si="30"/>
        <v>1904.6000000000001</v>
      </c>
      <c r="AF245" s="2">
        <f t="shared" si="31"/>
        <v>450.8</v>
      </c>
      <c r="AG245" s="2">
        <f t="shared" si="32"/>
        <v>304.39999999999998</v>
      </c>
      <c r="AH245" s="2">
        <f t="shared" si="33"/>
        <v>148.4</v>
      </c>
      <c r="AI245" s="2">
        <f t="shared" si="34"/>
        <v>1050.2</v>
      </c>
      <c r="AJ245" s="2">
        <f t="shared" si="35"/>
        <v>146.50769230769231</v>
      </c>
      <c r="AK245" s="2">
        <f t="shared" si="36"/>
        <v>150.26666666666668</v>
      </c>
      <c r="AL245" s="2">
        <f t="shared" si="37"/>
        <v>152.19999999999999</v>
      </c>
      <c r="AM245" s="2">
        <f t="shared" si="38"/>
        <v>148.4</v>
      </c>
      <c r="AN245" s="2">
        <f t="shared" si="39"/>
        <v>150.02857142857144</v>
      </c>
    </row>
    <row r="246" spans="1:40" x14ac:dyDescent="0.3">
      <c r="A246" t="s">
        <v>32</v>
      </c>
      <c r="B246">
        <v>2019</v>
      </c>
      <c r="C246" t="s">
        <v>44</v>
      </c>
      <c r="D246" s="2">
        <v>144.1</v>
      </c>
      <c r="E246" s="2">
        <v>162.4</v>
      </c>
      <c r="F246" s="2">
        <v>148.4</v>
      </c>
      <c r="G246" s="2">
        <v>145.9</v>
      </c>
      <c r="H246" s="2">
        <v>121.5</v>
      </c>
      <c r="I246" s="2">
        <v>148.80000000000001</v>
      </c>
      <c r="J246" s="2">
        <v>215.7</v>
      </c>
      <c r="K246" s="2">
        <v>134.6</v>
      </c>
      <c r="L246" s="2">
        <v>115</v>
      </c>
      <c r="M246" s="2">
        <v>146.30000000000001</v>
      </c>
      <c r="N246" s="2">
        <v>130.5</v>
      </c>
      <c r="O246" s="2">
        <v>157.19999999999999</v>
      </c>
      <c r="P246" s="2">
        <v>153.6</v>
      </c>
      <c r="Q246" s="2">
        <v>169.9</v>
      </c>
      <c r="R246" s="2">
        <v>146.30000000000001</v>
      </c>
      <c r="S246" s="2">
        <v>132.6</v>
      </c>
      <c r="T246" s="2">
        <v>144.19999999999999</v>
      </c>
      <c r="U246" s="2">
        <v>153.5</v>
      </c>
      <c r="V246" s="2">
        <v>132.19999999999999</v>
      </c>
      <c r="W246" s="2">
        <v>139.1</v>
      </c>
      <c r="X246" s="2">
        <v>142.80000000000001</v>
      </c>
      <c r="Y246" s="2">
        <v>121.7</v>
      </c>
      <c r="Z246" s="2">
        <v>136.69999999999999</v>
      </c>
      <c r="AA246" s="2">
        <v>151.80000000000001</v>
      </c>
      <c r="AB246" s="2">
        <v>139.80000000000001</v>
      </c>
      <c r="AC246" s="2">
        <v>136.30000000000001</v>
      </c>
      <c r="AD246" s="2">
        <v>147</v>
      </c>
      <c r="AE246" s="2">
        <f t="shared" si="30"/>
        <v>1923.9999999999998</v>
      </c>
      <c r="AF246" s="2">
        <f t="shared" si="31"/>
        <v>423.09999999999997</v>
      </c>
      <c r="AG246" s="2">
        <f t="shared" si="32"/>
        <v>292.60000000000002</v>
      </c>
      <c r="AH246" s="2">
        <f t="shared" si="33"/>
        <v>132.19999999999999</v>
      </c>
      <c r="AI246" s="2">
        <f t="shared" si="34"/>
        <v>998.99999999999989</v>
      </c>
      <c r="AJ246" s="2">
        <f t="shared" si="35"/>
        <v>147.99999999999997</v>
      </c>
      <c r="AK246" s="2">
        <f t="shared" si="36"/>
        <v>141.03333333333333</v>
      </c>
      <c r="AL246" s="2">
        <f t="shared" si="37"/>
        <v>146.30000000000001</v>
      </c>
      <c r="AM246" s="2">
        <f t="shared" si="38"/>
        <v>132.19999999999999</v>
      </c>
      <c r="AN246" s="2">
        <f t="shared" si="39"/>
        <v>142.71428571428569</v>
      </c>
    </row>
    <row r="247" spans="1:40" x14ac:dyDescent="0.3">
      <c r="A247" t="s">
        <v>33</v>
      </c>
      <c r="B247">
        <v>2019</v>
      </c>
      <c r="C247" t="s">
        <v>44</v>
      </c>
      <c r="D247" s="2">
        <v>142.5</v>
      </c>
      <c r="E247" s="2">
        <v>163.19999999999999</v>
      </c>
      <c r="F247" s="2">
        <v>145.6</v>
      </c>
      <c r="G247" s="2">
        <v>146.69999999999999</v>
      </c>
      <c r="H247" s="2">
        <v>124.3</v>
      </c>
      <c r="I247" s="2">
        <v>147.4</v>
      </c>
      <c r="J247" s="2">
        <v>199.6</v>
      </c>
      <c r="K247" s="2">
        <v>135.69999999999999</v>
      </c>
      <c r="L247" s="2">
        <v>114.2</v>
      </c>
      <c r="M247" s="2">
        <v>147</v>
      </c>
      <c r="N247" s="2">
        <v>135.30000000000001</v>
      </c>
      <c r="O247" s="2">
        <v>157.5</v>
      </c>
      <c r="P247" s="2">
        <v>151.9</v>
      </c>
      <c r="Q247" s="2">
        <v>167.9</v>
      </c>
      <c r="R247" s="2">
        <v>149.9</v>
      </c>
      <c r="S247" s="2">
        <v>141</v>
      </c>
      <c r="T247" s="2">
        <v>148.6</v>
      </c>
      <c r="U247" s="2">
        <v>153.5</v>
      </c>
      <c r="V247" s="2">
        <v>142.30000000000001</v>
      </c>
      <c r="W247" s="2">
        <v>145.30000000000001</v>
      </c>
      <c r="X247" s="2">
        <v>149.9</v>
      </c>
      <c r="Y247" s="2">
        <v>126.6</v>
      </c>
      <c r="Z247" s="2">
        <v>142.1</v>
      </c>
      <c r="AA247" s="2">
        <v>155.5</v>
      </c>
      <c r="AB247" s="2">
        <v>140.30000000000001</v>
      </c>
      <c r="AC247" s="2">
        <v>141.30000000000001</v>
      </c>
      <c r="AD247" s="2">
        <v>148.6</v>
      </c>
      <c r="AE247" s="2">
        <f t="shared" si="30"/>
        <v>1910.9</v>
      </c>
      <c r="AF247" s="2">
        <f t="shared" si="31"/>
        <v>439.5</v>
      </c>
      <c r="AG247" s="2">
        <f t="shared" si="32"/>
        <v>298.8</v>
      </c>
      <c r="AH247" s="2">
        <f t="shared" si="33"/>
        <v>142.30000000000001</v>
      </c>
      <c r="AI247" s="2">
        <f t="shared" si="34"/>
        <v>1023.6</v>
      </c>
      <c r="AJ247" s="2">
        <f t="shared" si="35"/>
        <v>146.99230769230769</v>
      </c>
      <c r="AK247" s="2">
        <f t="shared" si="36"/>
        <v>146.5</v>
      </c>
      <c r="AL247" s="2">
        <f t="shared" si="37"/>
        <v>149.4</v>
      </c>
      <c r="AM247" s="2">
        <f t="shared" si="38"/>
        <v>142.30000000000001</v>
      </c>
      <c r="AN247" s="2">
        <f t="shared" si="39"/>
        <v>146.22857142857143</v>
      </c>
    </row>
    <row r="248" spans="1:40" x14ac:dyDescent="0.3">
      <c r="A248" t="s">
        <v>30</v>
      </c>
      <c r="B248">
        <v>2019</v>
      </c>
      <c r="C248" t="s">
        <v>45</v>
      </c>
      <c r="D248" s="2">
        <v>142.80000000000001</v>
      </c>
      <c r="E248" s="2">
        <v>165.3</v>
      </c>
      <c r="F248" s="2">
        <v>149.5</v>
      </c>
      <c r="G248" s="2">
        <v>148.69999999999999</v>
      </c>
      <c r="H248" s="2">
        <v>127.5</v>
      </c>
      <c r="I248" s="2">
        <v>144.30000000000001</v>
      </c>
      <c r="J248" s="2">
        <v>209.5</v>
      </c>
      <c r="K248" s="2">
        <v>138.80000000000001</v>
      </c>
      <c r="L248" s="2">
        <v>113.6</v>
      </c>
      <c r="M248" s="2">
        <v>149.1</v>
      </c>
      <c r="N248" s="2">
        <v>139.30000000000001</v>
      </c>
      <c r="O248" s="2">
        <v>158.30000000000001</v>
      </c>
      <c r="P248" s="2">
        <v>154.30000000000001</v>
      </c>
      <c r="Q248" s="2">
        <v>167.8</v>
      </c>
      <c r="R248" s="2">
        <v>152.6</v>
      </c>
      <c r="S248" s="2">
        <v>147.30000000000001</v>
      </c>
      <c r="T248" s="2">
        <v>151.9</v>
      </c>
      <c r="U248" s="2">
        <f>AVERAGE(U249,U250)</f>
        <v>152.80000000000001</v>
      </c>
      <c r="V248" s="2">
        <v>149.9</v>
      </c>
      <c r="W248" s="2">
        <v>151.19999999999999</v>
      </c>
      <c r="X248" s="2">
        <v>154.80000000000001</v>
      </c>
      <c r="Y248" s="2">
        <v>135</v>
      </c>
      <c r="Z248" s="2">
        <v>149.5</v>
      </c>
      <c r="AA248" s="2">
        <v>161.1</v>
      </c>
      <c r="AB248" s="2">
        <v>140.6</v>
      </c>
      <c r="AC248" s="2">
        <v>147.1</v>
      </c>
      <c r="AD248" s="2">
        <v>152.30000000000001</v>
      </c>
      <c r="AE248" s="2">
        <f t="shared" si="30"/>
        <v>1940.9999999999995</v>
      </c>
      <c r="AF248" s="2">
        <f t="shared" si="31"/>
        <v>451.79999999999995</v>
      </c>
      <c r="AG248" s="2">
        <f t="shared" si="32"/>
        <v>304</v>
      </c>
      <c r="AH248" s="2">
        <f t="shared" si="33"/>
        <v>149.9</v>
      </c>
      <c r="AI248" s="2">
        <f t="shared" si="34"/>
        <v>1055.9000000000001</v>
      </c>
      <c r="AJ248" s="2">
        <f t="shared" si="35"/>
        <v>149.30769230769226</v>
      </c>
      <c r="AK248" s="2">
        <f t="shared" si="36"/>
        <v>150.6</v>
      </c>
      <c r="AL248" s="2">
        <f t="shared" si="37"/>
        <v>152</v>
      </c>
      <c r="AM248" s="2">
        <f t="shared" si="38"/>
        <v>149.9</v>
      </c>
      <c r="AN248" s="2">
        <f t="shared" si="39"/>
        <v>150.84285714285716</v>
      </c>
    </row>
    <row r="249" spans="1:40" x14ac:dyDescent="0.3">
      <c r="A249" t="s">
        <v>32</v>
      </c>
      <c r="B249">
        <v>2019</v>
      </c>
      <c r="C249" t="s">
        <v>45</v>
      </c>
      <c r="D249" s="2">
        <v>144.9</v>
      </c>
      <c r="E249" s="2">
        <v>164.5</v>
      </c>
      <c r="F249" s="2">
        <v>153.69999999999999</v>
      </c>
      <c r="G249" s="2">
        <v>147.5</v>
      </c>
      <c r="H249" s="2">
        <v>122.7</v>
      </c>
      <c r="I249" s="2">
        <v>147.19999999999999</v>
      </c>
      <c r="J249" s="2">
        <v>231.5</v>
      </c>
      <c r="K249" s="2">
        <v>137.19999999999999</v>
      </c>
      <c r="L249" s="2">
        <v>114.7</v>
      </c>
      <c r="M249" s="2">
        <v>148</v>
      </c>
      <c r="N249" s="2">
        <v>130.80000000000001</v>
      </c>
      <c r="O249" s="2">
        <v>157.69999999999999</v>
      </c>
      <c r="P249" s="2">
        <v>156.30000000000001</v>
      </c>
      <c r="Q249" s="2">
        <v>170.4</v>
      </c>
      <c r="R249" s="2">
        <v>146.80000000000001</v>
      </c>
      <c r="S249" s="2">
        <v>132.80000000000001</v>
      </c>
      <c r="T249" s="2">
        <v>144.6</v>
      </c>
      <c r="U249" s="2">
        <v>152.80000000000001</v>
      </c>
      <c r="V249" s="2">
        <v>133.6</v>
      </c>
      <c r="W249" s="2">
        <v>139.80000000000001</v>
      </c>
      <c r="X249" s="2">
        <v>143.19999999999999</v>
      </c>
      <c r="Y249" s="2">
        <v>125.2</v>
      </c>
      <c r="Z249" s="2">
        <v>136.80000000000001</v>
      </c>
      <c r="AA249" s="2">
        <v>151.9</v>
      </c>
      <c r="AB249" s="2">
        <v>140.19999999999999</v>
      </c>
      <c r="AC249" s="2">
        <v>137.69999999999999</v>
      </c>
      <c r="AD249" s="2">
        <v>148.30000000000001</v>
      </c>
      <c r="AE249" s="2">
        <f t="shared" si="30"/>
        <v>1956.7</v>
      </c>
      <c r="AF249" s="2">
        <f t="shared" si="31"/>
        <v>424.20000000000005</v>
      </c>
      <c r="AG249" s="2">
        <f t="shared" si="32"/>
        <v>292.60000000000002</v>
      </c>
      <c r="AH249" s="2">
        <f t="shared" si="33"/>
        <v>133.6</v>
      </c>
      <c r="AI249" s="2">
        <f t="shared" si="34"/>
        <v>1005.4</v>
      </c>
      <c r="AJ249" s="2">
        <f t="shared" si="35"/>
        <v>150.51538461538462</v>
      </c>
      <c r="AK249" s="2">
        <f t="shared" si="36"/>
        <v>141.4</v>
      </c>
      <c r="AL249" s="2">
        <f t="shared" si="37"/>
        <v>146.30000000000001</v>
      </c>
      <c r="AM249" s="2">
        <f t="shared" si="38"/>
        <v>133.6</v>
      </c>
      <c r="AN249" s="2">
        <f t="shared" si="39"/>
        <v>143.62857142857143</v>
      </c>
    </row>
    <row r="250" spans="1:40" x14ac:dyDescent="0.3">
      <c r="A250" t="s">
        <v>33</v>
      </c>
      <c r="B250">
        <v>2019</v>
      </c>
      <c r="C250" t="s">
        <v>45</v>
      </c>
      <c r="D250" s="2">
        <v>143.5</v>
      </c>
      <c r="E250" s="2">
        <v>165</v>
      </c>
      <c r="F250" s="2">
        <v>151.1</v>
      </c>
      <c r="G250" s="2">
        <v>148.30000000000001</v>
      </c>
      <c r="H250" s="2">
        <v>125.7</v>
      </c>
      <c r="I250" s="2">
        <v>145.69999999999999</v>
      </c>
      <c r="J250" s="2">
        <v>217</v>
      </c>
      <c r="K250" s="2">
        <v>138.30000000000001</v>
      </c>
      <c r="L250" s="2">
        <v>114</v>
      </c>
      <c r="M250" s="2">
        <v>148.69999999999999</v>
      </c>
      <c r="N250" s="2">
        <v>135.80000000000001</v>
      </c>
      <c r="O250" s="2">
        <v>158</v>
      </c>
      <c r="P250" s="2">
        <v>155</v>
      </c>
      <c r="Q250" s="2">
        <v>168.5</v>
      </c>
      <c r="R250" s="2">
        <v>150.30000000000001</v>
      </c>
      <c r="S250" s="2">
        <v>141.30000000000001</v>
      </c>
      <c r="T250" s="2">
        <v>149</v>
      </c>
      <c r="U250" s="2">
        <v>152.80000000000001</v>
      </c>
      <c r="V250" s="2">
        <v>143.69999999999999</v>
      </c>
      <c r="W250" s="2">
        <v>145.80000000000001</v>
      </c>
      <c r="X250" s="2">
        <v>150.4</v>
      </c>
      <c r="Y250" s="2">
        <v>129.80000000000001</v>
      </c>
      <c r="Z250" s="2">
        <v>142.30000000000001</v>
      </c>
      <c r="AA250" s="2">
        <v>155.69999999999999</v>
      </c>
      <c r="AB250" s="2">
        <v>140.4</v>
      </c>
      <c r="AC250" s="2">
        <v>142.5</v>
      </c>
      <c r="AD250" s="2">
        <v>150.4</v>
      </c>
      <c r="AE250" s="2">
        <f t="shared" si="30"/>
        <v>1946.1000000000001</v>
      </c>
      <c r="AF250" s="2">
        <f t="shared" si="31"/>
        <v>440.6</v>
      </c>
      <c r="AG250" s="2">
        <f t="shared" si="32"/>
        <v>298.60000000000002</v>
      </c>
      <c r="AH250" s="2">
        <f t="shared" si="33"/>
        <v>143.69999999999999</v>
      </c>
      <c r="AI250" s="2">
        <f t="shared" si="34"/>
        <v>1029.5999999999999</v>
      </c>
      <c r="AJ250" s="2">
        <f t="shared" si="35"/>
        <v>149.70000000000002</v>
      </c>
      <c r="AK250" s="2">
        <f t="shared" si="36"/>
        <v>146.86666666666667</v>
      </c>
      <c r="AL250" s="2">
        <f t="shared" si="37"/>
        <v>149.30000000000001</v>
      </c>
      <c r="AM250" s="2">
        <f t="shared" si="38"/>
        <v>143.69999999999999</v>
      </c>
      <c r="AN250" s="2">
        <f t="shared" si="39"/>
        <v>147.08571428571426</v>
      </c>
    </row>
    <row r="251" spans="1:40" x14ac:dyDescent="0.3">
      <c r="A251" t="s">
        <v>30</v>
      </c>
      <c r="B251">
        <v>2020</v>
      </c>
      <c r="C251" t="s">
        <v>31</v>
      </c>
      <c r="D251" s="2">
        <v>143.69999999999999</v>
      </c>
      <c r="E251" s="2">
        <v>167.3</v>
      </c>
      <c r="F251" s="2">
        <v>153.5</v>
      </c>
      <c r="G251" s="2">
        <v>150.5</v>
      </c>
      <c r="H251" s="2">
        <v>132</v>
      </c>
      <c r="I251" s="2">
        <v>142.19999999999999</v>
      </c>
      <c r="J251" s="2">
        <v>191.5</v>
      </c>
      <c r="K251" s="2">
        <v>141.1</v>
      </c>
      <c r="L251" s="2">
        <v>113.8</v>
      </c>
      <c r="M251" s="2">
        <v>151.6</v>
      </c>
      <c r="N251" s="2">
        <v>139.69999999999999</v>
      </c>
      <c r="O251" s="2">
        <v>158.69999999999999</v>
      </c>
      <c r="P251" s="2">
        <v>153</v>
      </c>
      <c r="Q251" s="2">
        <v>168.6</v>
      </c>
      <c r="R251" s="2">
        <v>152.80000000000001</v>
      </c>
      <c r="S251" s="2">
        <v>147.4</v>
      </c>
      <c r="T251" s="2">
        <v>152.1</v>
      </c>
      <c r="U251" s="2">
        <f>AVERAGE(U252,U253)</f>
        <v>153.9</v>
      </c>
      <c r="V251" s="2">
        <v>150.4</v>
      </c>
      <c r="W251" s="2">
        <v>151.69999999999999</v>
      </c>
      <c r="X251" s="2">
        <v>155.69999999999999</v>
      </c>
      <c r="Y251" s="2">
        <v>136.30000000000001</v>
      </c>
      <c r="Z251" s="2">
        <v>150.1</v>
      </c>
      <c r="AA251" s="2">
        <v>161.69999999999999</v>
      </c>
      <c r="AB251" s="2">
        <v>142.5</v>
      </c>
      <c r="AC251" s="2">
        <v>148.1</v>
      </c>
      <c r="AD251" s="2">
        <v>151.9</v>
      </c>
      <c r="AE251" s="2">
        <f t="shared" si="30"/>
        <v>1938.6</v>
      </c>
      <c r="AF251" s="2">
        <f t="shared" si="31"/>
        <v>452.30000000000007</v>
      </c>
      <c r="AG251" s="2">
        <f t="shared" si="32"/>
        <v>305.60000000000002</v>
      </c>
      <c r="AH251" s="2">
        <f t="shared" si="33"/>
        <v>150.4</v>
      </c>
      <c r="AI251" s="2">
        <f t="shared" si="34"/>
        <v>1063</v>
      </c>
      <c r="AJ251" s="2">
        <f t="shared" si="35"/>
        <v>149.12307692307692</v>
      </c>
      <c r="AK251" s="2">
        <f t="shared" si="36"/>
        <v>150.76666666666668</v>
      </c>
      <c r="AL251" s="2">
        <f t="shared" si="37"/>
        <v>152.80000000000001</v>
      </c>
      <c r="AM251" s="2">
        <f t="shared" si="38"/>
        <v>150.4</v>
      </c>
      <c r="AN251" s="2">
        <f t="shared" si="39"/>
        <v>151.85714285714286</v>
      </c>
    </row>
    <row r="252" spans="1:40" x14ac:dyDescent="0.3">
      <c r="A252" t="s">
        <v>32</v>
      </c>
      <c r="B252">
        <v>2020</v>
      </c>
      <c r="C252" t="s">
        <v>31</v>
      </c>
      <c r="D252" s="2">
        <v>145.6</v>
      </c>
      <c r="E252" s="2">
        <v>167.6</v>
      </c>
      <c r="F252" s="2">
        <v>157</v>
      </c>
      <c r="G252" s="2">
        <v>149.30000000000001</v>
      </c>
      <c r="H252" s="2">
        <v>126.3</v>
      </c>
      <c r="I252" s="2">
        <v>144.4</v>
      </c>
      <c r="J252" s="2">
        <v>207.8</v>
      </c>
      <c r="K252" s="2">
        <v>139.1</v>
      </c>
      <c r="L252" s="2">
        <v>114.8</v>
      </c>
      <c r="M252" s="2">
        <v>149.5</v>
      </c>
      <c r="N252" s="2">
        <v>131.1</v>
      </c>
      <c r="O252" s="2">
        <v>158.5</v>
      </c>
      <c r="P252" s="2">
        <v>154.4</v>
      </c>
      <c r="Q252" s="2">
        <v>170.8</v>
      </c>
      <c r="R252" s="2">
        <v>147</v>
      </c>
      <c r="S252" s="2">
        <v>133.19999999999999</v>
      </c>
      <c r="T252" s="2">
        <v>144.9</v>
      </c>
      <c r="U252" s="2">
        <v>153.9</v>
      </c>
      <c r="V252" s="2">
        <v>135.1</v>
      </c>
      <c r="W252" s="2">
        <v>140.1</v>
      </c>
      <c r="X252" s="2">
        <v>143.80000000000001</v>
      </c>
      <c r="Y252" s="2">
        <v>126.1</v>
      </c>
      <c r="Z252" s="2">
        <v>137.19999999999999</v>
      </c>
      <c r="AA252" s="2">
        <v>152.1</v>
      </c>
      <c r="AB252" s="2">
        <v>142.1</v>
      </c>
      <c r="AC252" s="2">
        <v>138.4</v>
      </c>
      <c r="AD252" s="2">
        <v>148.19999999999999</v>
      </c>
      <c r="AE252" s="2">
        <f t="shared" si="30"/>
        <v>1945.3999999999999</v>
      </c>
      <c r="AF252" s="2">
        <f t="shared" si="31"/>
        <v>425.1</v>
      </c>
      <c r="AG252" s="2">
        <f t="shared" si="32"/>
        <v>294</v>
      </c>
      <c r="AH252" s="2">
        <f t="shared" si="33"/>
        <v>135.1</v>
      </c>
      <c r="AI252" s="2">
        <f t="shared" si="34"/>
        <v>1010.5</v>
      </c>
      <c r="AJ252" s="2">
        <f t="shared" si="35"/>
        <v>149.64615384615382</v>
      </c>
      <c r="AK252" s="2">
        <f t="shared" si="36"/>
        <v>141.70000000000002</v>
      </c>
      <c r="AL252" s="2">
        <f t="shared" si="37"/>
        <v>147</v>
      </c>
      <c r="AM252" s="2">
        <f t="shared" si="38"/>
        <v>135.1</v>
      </c>
      <c r="AN252" s="2">
        <f t="shared" si="39"/>
        <v>144.35714285714286</v>
      </c>
    </row>
    <row r="253" spans="1:40" x14ac:dyDescent="0.3">
      <c r="A253" t="s">
        <v>33</v>
      </c>
      <c r="B253">
        <v>2020</v>
      </c>
      <c r="C253" t="s">
        <v>31</v>
      </c>
      <c r="D253" s="2">
        <v>144.30000000000001</v>
      </c>
      <c r="E253" s="2">
        <v>167.4</v>
      </c>
      <c r="F253" s="2">
        <v>154.9</v>
      </c>
      <c r="G253" s="2">
        <v>150.1</v>
      </c>
      <c r="H253" s="2">
        <v>129.9</v>
      </c>
      <c r="I253" s="2">
        <v>143.19999999999999</v>
      </c>
      <c r="J253" s="2">
        <v>197</v>
      </c>
      <c r="K253" s="2">
        <v>140.4</v>
      </c>
      <c r="L253" s="2">
        <v>114.1</v>
      </c>
      <c r="M253" s="2">
        <v>150.9</v>
      </c>
      <c r="N253" s="2">
        <v>136.1</v>
      </c>
      <c r="O253" s="2">
        <v>158.6</v>
      </c>
      <c r="P253" s="2">
        <v>153.5</v>
      </c>
      <c r="Q253" s="2">
        <v>169.2</v>
      </c>
      <c r="R253" s="2">
        <v>150.5</v>
      </c>
      <c r="S253" s="2">
        <v>141.5</v>
      </c>
      <c r="T253" s="2">
        <v>149.19999999999999</v>
      </c>
      <c r="U253" s="2">
        <v>153.9</v>
      </c>
      <c r="V253" s="2">
        <v>144.6</v>
      </c>
      <c r="W253" s="2">
        <v>146.19999999999999</v>
      </c>
      <c r="X253" s="2">
        <v>151.19999999999999</v>
      </c>
      <c r="Y253" s="2">
        <v>130.9</v>
      </c>
      <c r="Z253" s="2">
        <v>142.80000000000001</v>
      </c>
      <c r="AA253" s="2">
        <v>156.1</v>
      </c>
      <c r="AB253" s="2">
        <v>142.30000000000001</v>
      </c>
      <c r="AC253" s="2">
        <v>143.4</v>
      </c>
      <c r="AD253" s="2">
        <v>150.19999999999999</v>
      </c>
      <c r="AE253" s="2">
        <f t="shared" si="30"/>
        <v>1940.3999999999999</v>
      </c>
      <c r="AF253" s="2">
        <f t="shared" si="31"/>
        <v>441.2</v>
      </c>
      <c r="AG253" s="2">
        <f t="shared" si="32"/>
        <v>300.10000000000002</v>
      </c>
      <c r="AH253" s="2">
        <f t="shared" si="33"/>
        <v>144.6</v>
      </c>
      <c r="AI253" s="2">
        <f t="shared" si="34"/>
        <v>1035.8999999999999</v>
      </c>
      <c r="AJ253" s="2">
        <f t="shared" si="35"/>
        <v>149.26153846153846</v>
      </c>
      <c r="AK253" s="2">
        <f t="shared" si="36"/>
        <v>147.06666666666666</v>
      </c>
      <c r="AL253" s="2">
        <f t="shared" si="37"/>
        <v>150.05000000000001</v>
      </c>
      <c r="AM253" s="2">
        <f t="shared" si="38"/>
        <v>144.6</v>
      </c>
      <c r="AN253" s="2">
        <f t="shared" si="39"/>
        <v>147.98571428571427</v>
      </c>
    </row>
    <row r="254" spans="1:40" x14ac:dyDescent="0.3">
      <c r="A254" t="s">
        <v>30</v>
      </c>
      <c r="B254">
        <v>2020</v>
      </c>
      <c r="C254" t="s">
        <v>34</v>
      </c>
      <c r="D254" s="2">
        <v>144.19999999999999</v>
      </c>
      <c r="E254" s="2">
        <v>167.5</v>
      </c>
      <c r="F254" s="2">
        <v>150.9</v>
      </c>
      <c r="G254" s="2">
        <v>150.9</v>
      </c>
      <c r="H254" s="2">
        <v>133.69999999999999</v>
      </c>
      <c r="I254" s="2">
        <v>140.69999999999999</v>
      </c>
      <c r="J254" s="2">
        <v>165.1</v>
      </c>
      <c r="K254" s="2">
        <v>141.80000000000001</v>
      </c>
      <c r="L254" s="2">
        <v>113.1</v>
      </c>
      <c r="M254" s="2">
        <v>152.80000000000001</v>
      </c>
      <c r="N254" s="2">
        <v>140.1</v>
      </c>
      <c r="O254" s="2">
        <v>159.19999999999999</v>
      </c>
      <c r="P254" s="2">
        <v>149.80000000000001</v>
      </c>
      <c r="Q254" s="2">
        <v>169.4</v>
      </c>
      <c r="R254" s="2">
        <v>153</v>
      </c>
      <c r="S254" s="2">
        <v>147.5</v>
      </c>
      <c r="T254" s="2">
        <v>152.30000000000001</v>
      </c>
      <c r="U254" s="2">
        <f>AVERAGE(U255,U256)</f>
        <v>154.80000000000001</v>
      </c>
      <c r="V254" s="2">
        <v>152.30000000000001</v>
      </c>
      <c r="W254" s="2">
        <v>151.80000000000001</v>
      </c>
      <c r="X254" s="2">
        <v>156.19999999999999</v>
      </c>
      <c r="Y254" s="2">
        <v>136</v>
      </c>
      <c r="Z254" s="2">
        <v>150.4</v>
      </c>
      <c r="AA254" s="2">
        <v>161.9</v>
      </c>
      <c r="AB254" s="2">
        <v>143.4</v>
      </c>
      <c r="AC254" s="2">
        <v>148.4</v>
      </c>
      <c r="AD254" s="2">
        <v>150.4</v>
      </c>
      <c r="AE254" s="2">
        <f t="shared" si="30"/>
        <v>1909.7999999999997</v>
      </c>
      <c r="AF254" s="2">
        <f t="shared" si="31"/>
        <v>452.8</v>
      </c>
      <c r="AG254" s="2">
        <f t="shared" si="32"/>
        <v>306.60000000000002</v>
      </c>
      <c r="AH254" s="2">
        <f t="shared" si="33"/>
        <v>152.30000000000001</v>
      </c>
      <c r="AI254" s="2">
        <f t="shared" si="34"/>
        <v>1065.7</v>
      </c>
      <c r="AJ254" s="2">
        <f t="shared" si="35"/>
        <v>146.90769230769229</v>
      </c>
      <c r="AK254" s="2">
        <f t="shared" si="36"/>
        <v>150.93333333333334</v>
      </c>
      <c r="AL254" s="2">
        <f t="shared" si="37"/>
        <v>153.30000000000001</v>
      </c>
      <c r="AM254" s="2">
        <f t="shared" si="38"/>
        <v>152.30000000000001</v>
      </c>
      <c r="AN254" s="2">
        <f t="shared" si="39"/>
        <v>152.24285714285716</v>
      </c>
    </row>
    <row r="255" spans="1:40" x14ac:dyDescent="0.3">
      <c r="A255" t="s">
        <v>32</v>
      </c>
      <c r="B255">
        <v>2020</v>
      </c>
      <c r="C255" t="s">
        <v>34</v>
      </c>
      <c r="D255" s="2">
        <v>146.19999999999999</v>
      </c>
      <c r="E255" s="2">
        <v>167.6</v>
      </c>
      <c r="F255" s="2">
        <v>153.1</v>
      </c>
      <c r="G255" s="2">
        <v>150.69999999999999</v>
      </c>
      <c r="H255" s="2">
        <v>127.4</v>
      </c>
      <c r="I255" s="2">
        <v>143.1</v>
      </c>
      <c r="J255" s="2">
        <v>181.7</v>
      </c>
      <c r="K255" s="2">
        <v>139.6</v>
      </c>
      <c r="L255" s="2">
        <v>114.6</v>
      </c>
      <c r="M255" s="2">
        <v>150.4</v>
      </c>
      <c r="N255" s="2">
        <v>131.5</v>
      </c>
      <c r="O255" s="2">
        <v>159</v>
      </c>
      <c r="P255" s="2">
        <v>151.69999999999999</v>
      </c>
      <c r="Q255" s="2">
        <v>172</v>
      </c>
      <c r="R255" s="2">
        <v>147.30000000000001</v>
      </c>
      <c r="S255" s="2">
        <v>133.5</v>
      </c>
      <c r="T255" s="2">
        <v>145.19999999999999</v>
      </c>
      <c r="U255" s="2">
        <v>154.80000000000001</v>
      </c>
      <c r="V255" s="2">
        <v>138.9</v>
      </c>
      <c r="W255" s="2">
        <v>140.4</v>
      </c>
      <c r="X255" s="2">
        <v>144.4</v>
      </c>
      <c r="Y255" s="2">
        <v>125.2</v>
      </c>
      <c r="Z255" s="2">
        <v>137.69999999999999</v>
      </c>
      <c r="AA255" s="2">
        <v>152.19999999999999</v>
      </c>
      <c r="AB255" s="2">
        <v>143.5</v>
      </c>
      <c r="AC255" s="2">
        <v>138.4</v>
      </c>
      <c r="AD255" s="2">
        <v>147.69999999999999</v>
      </c>
      <c r="AE255" s="2">
        <f t="shared" si="30"/>
        <v>1916.6</v>
      </c>
      <c r="AF255" s="2">
        <f t="shared" si="31"/>
        <v>426</v>
      </c>
      <c r="AG255" s="2">
        <f t="shared" si="32"/>
        <v>295.20000000000005</v>
      </c>
      <c r="AH255" s="2">
        <f t="shared" si="33"/>
        <v>138.9</v>
      </c>
      <c r="AI255" s="2">
        <f t="shared" si="34"/>
        <v>1013.4</v>
      </c>
      <c r="AJ255" s="2">
        <f t="shared" si="35"/>
        <v>147.43076923076922</v>
      </c>
      <c r="AK255" s="2">
        <f t="shared" si="36"/>
        <v>142</v>
      </c>
      <c r="AL255" s="2">
        <f t="shared" si="37"/>
        <v>147.60000000000002</v>
      </c>
      <c r="AM255" s="2">
        <f t="shared" si="38"/>
        <v>138.9</v>
      </c>
      <c r="AN255" s="2">
        <f t="shared" si="39"/>
        <v>144.77142857142857</v>
      </c>
    </row>
    <row r="256" spans="1:40" x14ac:dyDescent="0.3">
      <c r="A256" t="s">
        <v>33</v>
      </c>
      <c r="B256">
        <v>2020</v>
      </c>
      <c r="C256" t="s">
        <v>34</v>
      </c>
      <c r="D256" s="2">
        <v>144.80000000000001</v>
      </c>
      <c r="E256" s="2">
        <v>167.5</v>
      </c>
      <c r="F256" s="2">
        <v>151.80000000000001</v>
      </c>
      <c r="G256" s="2">
        <v>150.80000000000001</v>
      </c>
      <c r="H256" s="2">
        <v>131.4</v>
      </c>
      <c r="I256" s="2">
        <v>141.80000000000001</v>
      </c>
      <c r="J256" s="2">
        <v>170.7</v>
      </c>
      <c r="K256" s="2">
        <v>141.1</v>
      </c>
      <c r="L256" s="2">
        <v>113.6</v>
      </c>
      <c r="M256" s="2">
        <v>152</v>
      </c>
      <c r="N256" s="2">
        <v>136.5</v>
      </c>
      <c r="O256" s="2">
        <v>159.1</v>
      </c>
      <c r="P256" s="2">
        <v>150.5</v>
      </c>
      <c r="Q256" s="2">
        <v>170.1</v>
      </c>
      <c r="R256" s="2">
        <v>150.80000000000001</v>
      </c>
      <c r="S256" s="2">
        <v>141.69999999999999</v>
      </c>
      <c r="T256" s="2">
        <v>149.5</v>
      </c>
      <c r="U256" s="2">
        <v>154.80000000000001</v>
      </c>
      <c r="V256" s="2">
        <v>147.19999999999999</v>
      </c>
      <c r="W256" s="2">
        <v>146.4</v>
      </c>
      <c r="X256" s="2">
        <v>151.69999999999999</v>
      </c>
      <c r="Y256" s="2">
        <v>130.30000000000001</v>
      </c>
      <c r="Z256" s="2">
        <v>143.19999999999999</v>
      </c>
      <c r="AA256" s="2">
        <v>156.19999999999999</v>
      </c>
      <c r="AB256" s="2">
        <v>143.4</v>
      </c>
      <c r="AC256" s="2">
        <v>143.6</v>
      </c>
      <c r="AD256" s="2">
        <v>149.1</v>
      </c>
      <c r="AE256" s="2">
        <f t="shared" si="30"/>
        <v>1911.6</v>
      </c>
      <c r="AF256" s="2">
        <f t="shared" si="31"/>
        <v>442</v>
      </c>
      <c r="AG256" s="2">
        <f t="shared" si="32"/>
        <v>301.20000000000005</v>
      </c>
      <c r="AH256" s="2">
        <f t="shared" si="33"/>
        <v>147.19999999999999</v>
      </c>
      <c r="AI256" s="2">
        <f t="shared" si="34"/>
        <v>1038.5</v>
      </c>
      <c r="AJ256" s="2">
        <f t="shared" si="35"/>
        <v>147.04615384615383</v>
      </c>
      <c r="AK256" s="2">
        <f t="shared" si="36"/>
        <v>147.33333333333334</v>
      </c>
      <c r="AL256" s="2">
        <f t="shared" si="37"/>
        <v>150.60000000000002</v>
      </c>
      <c r="AM256" s="2">
        <f t="shared" si="38"/>
        <v>147.19999999999999</v>
      </c>
      <c r="AN256" s="2">
        <f t="shared" si="39"/>
        <v>148.35714285714286</v>
      </c>
    </row>
    <row r="257" spans="1:40" x14ac:dyDescent="0.3">
      <c r="A257" t="s">
        <v>30</v>
      </c>
      <c r="B257">
        <v>2020</v>
      </c>
      <c r="C257" t="s">
        <v>35</v>
      </c>
      <c r="D257" s="2">
        <v>144.4</v>
      </c>
      <c r="E257" s="2">
        <v>166.8</v>
      </c>
      <c r="F257" s="2">
        <v>147.6</v>
      </c>
      <c r="G257" s="2">
        <v>151.69999999999999</v>
      </c>
      <c r="H257" s="2">
        <v>133.30000000000001</v>
      </c>
      <c r="I257" s="2">
        <v>141.80000000000001</v>
      </c>
      <c r="J257" s="2">
        <v>152.30000000000001</v>
      </c>
      <c r="K257" s="2">
        <v>141.80000000000001</v>
      </c>
      <c r="L257" s="2">
        <v>112.6</v>
      </c>
      <c r="M257" s="2">
        <v>154</v>
      </c>
      <c r="N257" s="2">
        <v>140.1</v>
      </c>
      <c r="O257" s="2">
        <v>160</v>
      </c>
      <c r="P257" s="2">
        <v>148.19999999999999</v>
      </c>
      <c r="Q257" s="2">
        <v>170.5</v>
      </c>
      <c r="R257" s="2">
        <v>153.4</v>
      </c>
      <c r="S257" s="2">
        <v>147.6</v>
      </c>
      <c r="T257" s="2">
        <v>152.5</v>
      </c>
      <c r="U257" s="2">
        <f>AVERAGE(U258,U259)</f>
        <v>154.5</v>
      </c>
      <c r="V257" s="2">
        <v>153.4</v>
      </c>
      <c r="W257" s="2">
        <v>151.5</v>
      </c>
      <c r="X257" s="2">
        <v>156.69999999999999</v>
      </c>
      <c r="Y257" s="2">
        <v>135.80000000000001</v>
      </c>
      <c r="Z257" s="2">
        <v>151.19999999999999</v>
      </c>
      <c r="AA257" s="2">
        <v>161.19999999999999</v>
      </c>
      <c r="AB257" s="2">
        <v>145.1</v>
      </c>
      <c r="AC257" s="2">
        <v>148.6</v>
      </c>
      <c r="AD257" s="2">
        <v>149.80000000000001</v>
      </c>
      <c r="AE257" s="2">
        <f t="shared" si="30"/>
        <v>1894.5999999999997</v>
      </c>
      <c r="AF257" s="2">
        <f t="shared" si="31"/>
        <v>453.5</v>
      </c>
      <c r="AG257" s="2">
        <f t="shared" si="32"/>
        <v>306</v>
      </c>
      <c r="AH257" s="2">
        <f t="shared" si="33"/>
        <v>153.4</v>
      </c>
      <c r="AI257" s="2">
        <f t="shared" si="34"/>
        <v>1069.0999999999999</v>
      </c>
      <c r="AJ257" s="2">
        <f t="shared" si="35"/>
        <v>145.73846153846151</v>
      </c>
      <c r="AK257" s="2">
        <f t="shared" si="36"/>
        <v>151.16666666666666</v>
      </c>
      <c r="AL257" s="2">
        <f t="shared" si="37"/>
        <v>153</v>
      </c>
      <c r="AM257" s="2">
        <f t="shared" si="38"/>
        <v>153.4</v>
      </c>
      <c r="AN257" s="2">
        <f t="shared" si="39"/>
        <v>152.72857142857143</v>
      </c>
    </row>
    <row r="258" spans="1:40" x14ac:dyDescent="0.3">
      <c r="A258" t="s">
        <v>32</v>
      </c>
      <c r="B258">
        <v>2020</v>
      </c>
      <c r="C258" t="s">
        <v>35</v>
      </c>
      <c r="D258" s="2">
        <v>146.5</v>
      </c>
      <c r="E258" s="2">
        <v>167.5</v>
      </c>
      <c r="F258" s="2">
        <v>148.9</v>
      </c>
      <c r="G258" s="2">
        <v>151.1</v>
      </c>
      <c r="H258" s="2">
        <v>127.5</v>
      </c>
      <c r="I258" s="2">
        <v>143.30000000000001</v>
      </c>
      <c r="J258" s="2">
        <v>167</v>
      </c>
      <c r="K258" s="2">
        <v>139.69999999999999</v>
      </c>
      <c r="L258" s="2">
        <v>114.4</v>
      </c>
      <c r="M258" s="2">
        <v>151.5</v>
      </c>
      <c r="N258" s="2">
        <v>131.9</v>
      </c>
      <c r="O258" s="2">
        <v>159.1</v>
      </c>
      <c r="P258" s="2">
        <v>150.1</v>
      </c>
      <c r="Q258" s="2">
        <v>173.3</v>
      </c>
      <c r="R258" s="2">
        <v>147.69999999999999</v>
      </c>
      <c r="S258" s="2">
        <v>133.80000000000001</v>
      </c>
      <c r="T258" s="2">
        <v>145.6</v>
      </c>
      <c r="U258" s="2">
        <v>154.5</v>
      </c>
      <c r="V258" s="2">
        <v>141.4</v>
      </c>
      <c r="W258" s="2">
        <v>140.80000000000001</v>
      </c>
      <c r="X258" s="2">
        <v>145</v>
      </c>
      <c r="Y258" s="2">
        <v>124.6</v>
      </c>
      <c r="Z258" s="2">
        <v>137.9</v>
      </c>
      <c r="AA258" s="2">
        <v>152.5</v>
      </c>
      <c r="AB258" s="2">
        <v>145.30000000000001</v>
      </c>
      <c r="AC258" s="2">
        <v>138.69999999999999</v>
      </c>
      <c r="AD258" s="2">
        <v>147.30000000000001</v>
      </c>
      <c r="AE258" s="2">
        <f t="shared" si="30"/>
        <v>1898.5</v>
      </c>
      <c r="AF258" s="2">
        <f t="shared" si="31"/>
        <v>427.1</v>
      </c>
      <c r="AG258" s="2">
        <f t="shared" si="32"/>
        <v>295.3</v>
      </c>
      <c r="AH258" s="2">
        <f t="shared" si="33"/>
        <v>141.4</v>
      </c>
      <c r="AI258" s="2">
        <f t="shared" si="34"/>
        <v>1017.3</v>
      </c>
      <c r="AJ258" s="2">
        <f t="shared" si="35"/>
        <v>146.03846153846155</v>
      </c>
      <c r="AK258" s="2">
        <f t="shared" si="36"/>
        <v>142.36666666666667</v>
      </c>
      <c r="AL258" s="2">
        <f t="shared" si="37"/>
        <v>147.65</v>
      </c>
      <c r="AM258" s="2">
        <f t="shared" si="38"/>
        <v>141.4</v>
      </c>
      <c r="AN258" s="2">
        <f t="shared" si="39"/>
        <v>145.32857142857142</v>
      </c>
    </row>
    <row r="259" spans="1:40" x14ac:dyDescent="0.3">
      <c r="A259" t="s">
        <v>33</v>
      </c>
      <c r="B259">
        <v>2020</v>
      </c>
      <c r="C259" t="s">
        <v>35</v>
      </c>
      <c r="D259" s="2">
        <v>145.1</v>
      </c>
      <c r="E259" s="2">
        <v>167</v>
      </c>
      <c r="F259" s="2">
        <v>148.1</v>
      </c>
      <c r="G259" s="2">
        <v>151.5</v>
      </c>
      <c r="H259" s="2">
        <v>131.19999999999999</v>
      </c>
      <c r="I259" s="2">
        <v>142.5</v>
      </c>
      <c r="J259" s="2">
        <v>157.30000000000001</v>
      </c>
      <c r="K259" s="2">
        <v>141.1</v>
      </c>
      <c r="L259" s="2">
        <v>113.2</v>
      </c>
      <c r="M259" s="2">
        <v>153.19999999999999</v>
      </c>
      <c r="N259" s="2">
        <v>136.69999999999999</v>
      </c>
      <c r="O259" s="2">
        <v>159.6</v>
      </c>
      <c r="P259" s="2">
        <v>148.9</v>
      </c>
      <c r="Q259" s="2">
        <v>171.2</v>
      </c>
      <c r="R259" s="2">
        <v>151.19999999999999</v>
      </c>
      <c r="S259" s="2">
        <v>141.9</v>
      </c>
      <c r="T259" s="2">
        <v>149.80000000000001</v>
      </c>
      <c r="U259" s="2">
        <v>154.5</v>
      </c>
      <c r="V259" s="2">
        <v>148.9</v>
      </c>
      <c r="W259" s="2">
        <v>146.4</v>
      </c>
      <c r="X259" s="2">
        <v>152.30000000000001</v>
      </c>
      <c r="Y259" s="2">
        <v>129.9</v>
      </c>
      <c r="Z259" s="2">
        <v>143.69999999999999</v>
      </c>
      <c r="AA259" s="2">
        <v>156.1</v>
      </c>
      <c r="AB259" s="2">
        <v>145.19999999999999</v>
      </c>
      <c r="AC259" s="2">
        <v>143.80000000000001</v>
      </c>
      <c r="AD259" s="2">
        <v>148.6</v>
      </c>
      <c r="AE259" s="2">
        <f t="shared" ref="AE259:AE322" si="40">SUM(D259:P259)</f>
        <v>1895.4</v>
      </c>
      <c r="AF259" s="2">
        <f t="shared" ref="AF259:AF322" si="41">SUM(R259:T259)</f>
        <v>442.90000000000003</v>
      </c>
      <c r="AG259" s="2">
        <f t="shared" ref="AG259:AG322" si="42">SUM(U259,W259)</f>
        <v>300.89999999999998</v>
      </c>
      <c r="AH259" s="2">
        <f t="shared" ref="AH259:AH322" si="43">SUM(V259)</f>
        <v>148.9</v>
      </c>
      <c r="AI259" s="2">
        <f t="shared" ref="AI259:AI322" si="44">SUM(X259:AC259,Q259)</f>
        <v>1042.2</v>
      </c>
      <c r="AJ259" s="2">
        <f t="shared" ref="AJ259:AJ322" si="45">AVERAGE(D259:P259)</f>
        <v>145.80000000000001</v>
      </c>
      <c r="AK259" s="2">
        <f t="shared" ref="AK259:AK322" si="46">AVERAGE(R259:T259)</f>
        <v>147.63333333333335</v>
      </c>
      <c r="AL259" s="2">
        <f t="shared" ref="AL259:AL322" si="47">AVERAGE(U259,W259)</f>
        <v>150.44999999999999</v>
      </c>
      <c r="AM259" s="2">
        <f t="shared" ref="AM259:AM322" si="48">AVERAGE(V259)</f>
        <v>148.9</v>
      </c>
      <c r="AN259" s="2">
        <f t="shared" ref="AN259:AN322" si="49">AVERAGE(X259:AC259,Q259)</f>
        <v>148.8857142857143</v>
      </c>
    </row>
    <row r="260" spans="1:40" x14ac:dyDescent="0.3">
      <c r="A260" t="s">
        <v>30</v>
      </c>
      <c r="B260">
        <v>2020</v>
      </c>
      <c r="C260" t="s">
        <v>36</v>
      </c>
      <c r="D260" s="2">
        <v>147.19999999999999</v>
      </c>
      <c r="E260" s="2">
        <f t="shared" ref="E260" si="50">AVERAGE(E257,E254,E251)</f>
        <v>167.20000000000002</v>
      </c>
      <c r="F260" s="2">
        <v>146.9</v>
      </c>
      <c r="G260" s="2">
        <v>155.6</v>
      </c>
      <c r="H260" s="2">
        <v>137.1</v>
      </c>
      <c r="I260" s="2">
        <v>147.30000000000001</v>
      </c>
      <c r="J260" s="2">
        <v>162.69999999999999</v>
      </c>
      <c r="K260" s="2">
        <v>150.19999999999999</v>
      </c>
      <c r="L260" s="2">
        <v>119.8</v>
      </c>
      <c r="M260" s="2">
        <v>158.69999999999999</v>
      </c>
      <c r="N260" s="2">
        <v>139.19999999999999</v>
      </c>
      <c r="O260" s="2">
        <f t="shared" ref="O260" si="51">AVERAGE(O257,O254,O251)</f>
        <v>159.29999999999998</v>
      </c>
      <c r="P260" s="2">
        <v>150.1</v>
      </c>
      <c r="Q260" s="2">
        <f t="shared" ref="Q260:T262" si="52">AVERAGE(Q257,Q254,Q251)</f>
        <v>169.5</v>
      </c>
      <c r="R260" s="2">
        <f t="shared" si="52"/>
        <v>153.06666666666666</v>
      </c>
      <c r="S260" s="2">
        <f t="shared" si="52"/>
        <v>147.5</v>
      </c>
      <c r="T260" s="2">
        <f t="shared" si="52"/>
        <v>152.29999999999998</v>
      </c>
      <c r="U260" s="2">
        <f>AVERAGE(U261,U262)</f>
        <v>155.6</v>
      </c>
      <c r="V260" s="2">
        <v>148.4</v>
      </c>
      <c r="W260" s="2">
        <f t="shared" ref="W260" si="53">AVERAGE(W257,W254,W251)</f>
        <v>151.66666666666666</v>
      </c>
      <c r="X260" s="2">
        <v>154.30000000000001</v>
      </c>
      <c r="Y260" s="2">
        <f t="shared" ref="Y260:AC260" si="54">AVERAGE(Y257,Y254,Y251)</f>
        <v>136.03333333333333</v>
      </c>
      <c r="Z260" s="2">
        <f t="shared" si="54"/>
        <v>150.56666666666669</v>
      </c>
      <c r="AA260" s="2">
        <f t="shared" si="54"/>
        <v>161.6</v>
      </c>
      <c r="AB260" s="2">
        <f t="shared" si="54"/>
        <v>143.66666666666666</v>
      </c>
      <c r="AC260" s="2">
        <f t="shared" si="54"/>
        <v>148.36666666666667</v>
      </c>
      <c r="AD260" s="2">
        <f t="shared" ref="AD260" si="55">AVERAGE(AD257,AD254,AD251)</f>
        <v>150.70000000000002</v>
      </c>
      <c r="AE260" s="2">
        <f t="shared" si="40"/>
        <v>1941.3</v>
      </c>
      <c r="AF260" s="2">
        <f t="shared" si="41"/>
        <v>452.86666666666667</v>
      </c>
      <c r="AG260" s="2">
        <f t="shared" si="42"/>
        <v>307.26666666666665</v>
      </c>
      <c r="AH260" s="2">
        <f t="shared" si="43"/>
        <v>148.4</v>
      </c>
      <c r="AI260" s="2">
        <f t="shared" si="44"/>
        <v>1064.0333333333333</v>
      </c>
      <c r="AJ260" s="2">
        <f t="shared" si="45"/>
        <v>149.33076923076922</v>
      </c>
      <c r="AK260" s="2">
        <f t="shared" si="46"/>
        <v>150.95555555555555</v>
      </c>
      <c r="AL260" s="2">
        <f t="shared" si="47"/>
        <v>153.63333333333333</v>
      </c>
      <c r="AM260" s="2">
        <f t="shared" si="48"/>
        <v>148.4</v>
      </c>
      <c r="AN260" s="2">
        <f t="shared" si="49"/>
        <v>152.00476190476189</v>
      </c>
    </row>
    <row r="261" spans="1:40" x14ac:dyDescent="0.3">
      <c r="A261" t="s">
        <v>32</v>
      </c>
      <c r="B261">
        <v>2020</v>
      </c>
      <c r="C261" t="s">
        <v>36</v>
      </c>
      <c r="D261" s="2">
        <v>151.80000000000001</v>
      </c>
      <c r="E261" s="2">
        <f t="shared" ref="E261" si="56">AVERAGE(E258,E255,E252)</f>
        <v>167.56666666666669</v>
      </c>
      <c r="F261" s="2">
        <v>151.9</v>
      </c>
      <c r="G261" s="2">
        <v>155.5</v>
      </c>
      <c r="H261" s="2">
        <v>131.6</v>
      </c>
      <c r="I261" s="2">
        <v>152.9</v>
      </c>
      <c r="J261" s="2">
        <v>180</v>
      </c>
      <c r="K261" s="2">
        <v>150.80000000000001</v>
      </c>
      <c r="L261" s="2">
        <v>121.2</v>
      </c>
      <c r="M261" s="2">
        <v>154</v>
      </c>
      <c r="N261" s="2">
        <v>133.5</v>
      </c>
      <c r="O261" s="2">
        <f t="shared" ref="O261" si="57">AVERAGE(O258,O255,O252)</f>
        <v>158.86666666666667</v>
      </c>
      <c r="P261" s="2">
        <v>153.5</v>
      </c>
      <c r="Q261" s="2">
        <f t="shared" si="52"/>
        <v>172.03333333333333</v>
      </c>
      <c r="R261" s="2">
        <f t="shared" si="52"/>
        <v>147.33333333333334</v>
      </c>
      <c r="S261" s="2">
        <f t="shared" si="52"/>
        <v>133.5</v>
      </c>
      <c r="T261" s="2">
        <f t="shared" si="52"/>
        <v>145.23333333333332</v>
      </c>
      <c r="U261" s="2">
        <v>155.6</v>
      </c>
      <c r="V261" s="2">
        <v>137.1</v>
      </c>
      <c r="W261" s="2">
        <f t="shared" ref="W261" si="58">AVERAGE(W258,W255,W252)</f>
        <v>140.43333333333337</v>
      </c>
      <c r="X261" s="2">
        <v>144.80000000000001</v>
      </c>
      <c r="Y261" s="2">
        <f t="shared" ref="Y261:AC261" si="59">AVERAGE(Y258,Y255,Y252)</f>
        <v>125.3</v>
      </c>
      <c r="Z261" s="2">
        <f t="shared" si="59"/>
        <v>137.6</v>
      </c>
      <c r="AA261" s="2">
        <f t="shared" si="59"/>
        <v>152.26666666666665</v>
      </c>
      <c r="AB261" s="2">
        <f t="shared" si="59"/>
        <v>143.63333333333333</v>
      </c>
      <c r="AC261" s="2">
        <f t="shared" si="59"/>
        <v>138.5</v>
      </c>
      <c r="AD261" s="2">
        <f t="shared" ref="AD261" si="60">AVERAGE(AD258,AD255,AD252)</f>
        <v>147.73333333333332</v>
      </c>
      <c r="AE261" s="2">
        <f t="shared" si="40"/>
        <v>1963.1333333333332</v>
      </c>
      <c r="AF261" s="2">
        <f t="shared" si="41"/>
        <v>426.06666666666672</v>
      </c>
      <c r="AG261" s="2">
        <f t="shared" si="42"/>
        <v>296.03333333333336</v>
      </c>
      <c r="AH261" s="2">
        <f t="shared" si="43"/>
        <v>137.1</v>
      </c>
      <c r="AI261" s="2">
        <f t="shared" si="44"/>
        <v>1014.1333333333333</v>
      </c>
      <c r="AJ261" s="2">
        <f t="shared" si="45"/>
        <v>151.0102564102564</v>
      </c>
      <c r="AK261" s="2">
        <f t="shared" si="46"/>
        <v>142.02222222222224</v>
      </c>
      <c r="AL261" s="2">
        <f t="shared" si="47"/>
        <v>148.01666666666668</v>
      </c>
      <c r="AM261" s="2">
        <f t="shared" si="48"/>
        <v>137.1</v>
      </c>
      <c r="AN261" s="2">
        <f t="shared" si="49"/>
        <v>144.87619047619049</v>
      </c>
    </row>
    <row r="262" spans="1:40" x14ac:dyDescent="0.3">
      <c r="A262" t="s">
        <v>33</v>
      </c>
      <c r="B262">
        <v>2020</v>
      </c>
      <c r="C262" t="s">
        <v>36</v>
      </c>
      <c r="D262" s="2">
        <v>148.69999999999999</v>
      </c>
      <c r="E262" s="2">
        <f t="shared" ref="E262" si="61">AVERAGE(E259,E256,E253)</f>
        <v>167.29999999999998</v>
      </c>
      <c r="F262" s="2">
        <v>148.80000000000001</v>
      </c>
      <c r="G262" s="2">
        <v>155.6</v>
      </c>
      <c r="H262" s="2">
        <v>135.1</v>
      </c>
      <c r="I262" s="2">
        <v>149.9</v>
      </c>
      <c r="J262" s="2">
        <v>168.6</v>
      </c>
      <c r="K262" s="2">
        <v>150.4</v>
      </c>
      <c r="L262" s="2">
        <v>120.3</v>
      </c>
      <c r="M262" s="2">
        <v>157.1</v>
      </c>
      <c r="N262" s="2">
        <v>136.80000000000001</v>
      </c>
      <c r="O262" s="2">
        <f t="shared" ref="O262" si="62">AVERAGE(O259,O256,O253)</f>
        <v>159.1</v>
      </c>
      <c r="P262" s="2">
        <v>151.4</v>
      </c>
      <c r="Q262" s="2">
        <f t="shared" si="52"/>
        <v>170.16666666666666</v>
      </c>
      <c r="R262" s="2">
        <f t="shared" si="52"/>
        <v>150.83333333333334</v>
      </c>
      <c r="S262" s="2">
        <f t="shared" si="52"/>
        <v>141.70000000000002</v>
      </c>
      <c r="T262" s="2">
        <f t="shared" si="52"/>
        <v>149.5</v>
      </c>
      <c r="U262" s="2">
        <v>155.6</v>
      </c>
      <c r="V262" s="2">
        <v>144.1</v>
      </c>
      <c r="W262" s="2">
        <f t="shared" ref="W262" si="63">AVERAGE(W259,W256,W253)</f>
        <v>146.33333333333334</v>
      </c>
      <c r="X262" s="2">
        <v>150.69999999999999</v>
      </c>
      <c r="Y262" s="2">
        <f t="shared" ref="Y262:AC262" si="64">AVERAGE(Y259,Y256,Y253)</f>
        <v>130.36666666666667</v>
      </c>
      <c r="Z262" s="2">
        <f t="shared" si="64"/>
        <v>143.23333333333332</v>
      </c>
      <c r="AA262" s="2">
        <f t="shared" si="64"/>
        <v>156.13333333333333</v>
      </c>
      <c r="AB262" s="2">
        <f t="shared" si="64"/>
        <v>143.63333333333335</v>
      </c>
      <c r="AC262" s="2">
        <f t="shared" si="64"/>
        <v>143.6</v>
      </c>
      <c r="AD262" s="2">
        <f t="shared" ref="AD262" si="65">AVERAGE(AD259,AD256,AD253)</f>
        <v>149.29999999999998</v>
      </c>
      <c r="AE262" s="2">
        <f t="shared" si="40"/>
        <v>1949.1</v>
      </c>
      <c r="AF262" s="2">
        <f t="shared" si="41"/>
        <v>442.03333333333336</v>
      </c>
      <c r="AG262" s="2">
        <f t="shared" si="42"/>
        <v>301.93333333333334</v>
      </c>
      <c r="AH262" s="2">
        <f t="shared" si="43"/>
        <v>144.1</v>
      </c>
      <c r="AI262" s="2">
        <f t="shared" si="44"/>
        <v>1037.8333333333333</v>
      </c>
      <c r="AJ262" s="2">
        <f t="shared" si="45"/>
        <v>149.93076923076922</v>
      </c>
      <c r="AK262" s="2">
        <f t="shared" si="46"/>
        <v>147.34444444444446</v>
      </c>
      <c r="AL262" s="2">
        <f t="shared" si="47"/>
        <v>150.96666666666667</v>
      </c>
      <c r="AM262" s="2">
        <f t="shared" si="48"/>
        <v>144.1</v>
      </c>
      <c r="AN262" s="2">
        <f t="shared" si="49"/>
        <v>148.26190476190476</v>
      </c>
    </row>
    <row r="263" spans="1:40" x14ac:dyDescent="0.3">
      <c r="A263" t="s">
        <v>30</v>
      </c>
      <c r="B263">
        <v>2020</v>
      </c>
      <c r="C263" t="s">
        <v>37</v>
      </c>
      <c r="D263" s="2" t="b">
        <f>AE1=AVERAGE(D260,D257,D254)</f>
        <v>0</v>
      </c>
      <c r="E263" s="2">
        <f t="shared" ref="E263:L263" si="66">AVERAGE(E260,E257,E254)</f>
        <v>167.16666666666666</v>
      </c>
      <c r="F263" s="2">
        <f t="shared" si="66"/>
        <v>148.46666666666667</v>
      </c>
      <c r="G263" s="2">
        <f t="shared" si="66"/>
        <v>152.73333333333332</v>
      </c>
      <c r="H263" s="2">
        <f t="shared" si="66"/>
        <v>134.69999999999999</v>
      </c>
      <c r="I263" s="2">
        <f t="shared" si="66"/>
        <v>143.26666666666668</v>
      </c>
      <c r="J263" s="2">
        <f t="shared" si="66"/>
        <v>160.03333333333333</v>
      </c>
      <c r="K263" s="2">
        <f t="shared" si="66"/>
        <v>144.6</v>
      </c>
      <c r="L263" s="2">
        <f t="shared" si="66"/>
        <v>115.16666666666667</v>
      </c>
      <c r="M263" s="2">
        <f>AVERAGE(M260,M257,M254)</f>
        <v>155.16666666666666</v>
      </c>
      <c r="N263" s="2">
        <f t="shared" ref="N263:Q263" si="67">AVERAGE(N260,N257,N254)</f>
        <v>139.79999999999998</v>
      </c>
      <c r="O263" s="2">
        <f t="shared" si="67"/>
        <v>159.49999999999997</v>
      </c>
      <c r="P263" s="2">
        <f t="shared" si="67"/>
        <v>149.36666666666665</v>
      </c>
      <c r="Q263" s="2">
        <f t="shared" si="67"/>
        <v>169.79999999999998</v>
      </c>
      <c r="R263" s="2">
        <f>AVERAGE(R260,R257,R254)</f>
        <v>153.15555555555557</v>
      </c>
      <c r="S263" s="2">
        <f t="shared" ref="S263:W263" si="68">AVERAGE(S260,S257,S254)</f>
        <v>147.53333333333333</v>
      </c>
      <c r="T263" s="2">
        <f t="shared" si="68"/>
        <v>152.36666666666665</v>
      </c>
      <c r="U263" s="2">
        <f>AVERAGE(U264,U265)</f>
        <v>154.96666666666667</v>
      </c>
      <c r="V263" s="2">
        <f t="shared" si="68"/>
        <v>151.36666666666667</v>
      </c>
      <c r="W263" s="2">
        <f t="shared" si="68"/>
        <v>151.65555555555554</v>
      </c>
      <c r="X263" s="2">
        <f>AVERAGE(X260,X257,X254)</f>
        <v>155.73333333333332</v>
      </c>
      <c r="Y263" s="2">
        <f t="shared" ref="Y263:AD263" si="69">AVERAGE(Y260,Y257,Y254)</f>
        <v>135.94444444444446</v>
      </c>
      <c r="Z263" s="2">
        <f t="shared" si="69"/>
        <v>150.7222222222222</v>
      </c>
      <c r="AA263" s="2">
        <f t="shared" si="69"/>
        <v>161.56666666666663</v>
      </c>
      <c r="AB263" s="2">
        <f t="shared" si="69"/>
        <v>144.05555555555554</v>
      </c>
      <c r="AC263" s="2">
        <f t="shared" si="69"/>
        <v>148.45555555555555</v>
      </c>
      <c r="AD263" s="2">
        <f t="shared" si="69"/>
        <v>150.29999999999998</v>
      </c>
      <c r="AE263" s="2">
        <f t="shared" si="40"/>
        <v>1769.9666666666665</v>
      </c>
      <c r="AF263" s="2">
        <f t="shared" si="41"/>
        <v>453.05555555555554</v>
      </c>
      <c r="AG263" s="2">
        <f t="shared" si="42"/>
        <v>306.62222222222221</v>
      </c>
      <c r="AH263" s="2">
        <f t="shared" si="43"/>
        <v>151.36666666666667</v>
      </c>
      <c r="AI263" s="2">
        <f t="shared" si="44"/>
        <v>1066.2777777777776</v>
      </c>
      <c r="AJ263" s="2">
        <f t="shared" si="45"/>
        <v>147.49722222222221</v>
      </c>
      <c r="AK263" s="2">
        <f t="shared" si="46"/>
        <v>151.0185185185185</v>
      </c>
      <c r="AL263" s="2">
        <f t="shared" si="47"/>
        <v>153.3111111111111</v>
      </c>
      <c r="AM263" s="2">
        <f t="shared" si="48"/>
        <v>151.36666666666667</v>
      </c>
      <c r="AN263" s="2">
        <f t="shared" si="49"/>
        <v>152.32539682539681</v>
      </c>
    </row>
    <row r="264" spans="1:40" x14ac:dyDescent="0.3">
      <c r="A264" t="s">
        <v>32</v>
      </c>
      <c r="B264">
        <v>2020</v>
      </c>
      <c r="C264" t="s">
        <v>37</v>
      </c>
      <c r="D264" s="2">
        <f t="shared" ref="D264:L265" si="70">AVERAGE(D261,D258,D255)</f>
        <v>148.16666666666666</v>
      </c>
      <c r="E264" s="2">
        <f t="shared" si="70"/>
        <v>167.55555555555557</v>
      </c>
      <c r="F264" s="2">
        <f t="shared" si="70"/>
        <v>151.29999999999998</v>
      </c>
      <c r="G264" s="2">
        <f t="shared" si="70"/>
        <v>152.43333333333334</v>
      </c>
      <c r="H264" s="2">
        <f t="shared" si="70"/>
        <v>128.83333333333334</v>
      </c>
      <c r="I264" s="2">
        <f t="shared" si="70"/>
        <v>146.43333333333337</v>
      </c>
      <c r="J264" s="2">
        <f t="shared" si="70"/>
        <v>176.23333333333335</v>
      </c>
      <c r="K264" s="2">
        <f t="shared" si="70"/>
        <v>143.36666666666667</v>
      </c>
      <c r="L264" s="2">
        <f t="shared" si="70"/>
        <v>116.73333333333335</v>
      </c>
      <c r="M264" s="2">
        <f t="shared" ref="M264:AD264" si="71">AVERAGE(M261,M258,M255)</f>
        <v>151.96666666666667</v>
      </c>
      <c r="N264" s="2">
        <f t="shared" si="71"/>
        <v>132.29999999999998</v>
      </c>
      <c r="O264" s="2">
        <f t="shared" si="71"/>
        <v>158.98888888888891</v>
      </c>
      <c r="P264" s="2">
        <f t="shared" si="71"/>
        <v>151.76666666666668</v>
      </c>
      <c r="Q264" s="2">
        <f t="shared" si="71"/>
        <v>172.44444444444446</v>
      </c>
      <c r="R264" s="2">
        <f t="shared" si="71"/>
        <v>147.44444444444443</v>
      </c>
      <c r="S264" s="2">
        <f t="shared" si="71"/>
        <v>133.6</v>
      </c>
      <c r="T264" s="2">
        <f t="shared" si="71"/>
        <v>145.34444444444443</v>
      </c>
      <c r="U264" s="2">
        <f t="shared" si="71"/>
        <v>154.96666666666667</v>
      </c>
      <c r="V264" s="2">
        <f t="shared" si="71"/>
        <v>139.13333333333333</v>
      </c>
      <c r="W264" s="2">
        <f t="shared" si="71"/>
        <v>140.54444444444445</v>
      </c>
      <c r="X264" s="2">
        <f t="shared" si="71"/>
        <v>144.73333333333335</v>
      </c>
      <c r="Y264" s="2">
        <f t="shared" si="71"/>
        <v>125.03333333333332</v>
      </c>
      <c r="Z264" s="2">
        <f t="shared" si="71"/>
        <v>137.73333333333332</v>
      </c>
      <c r="AA264" s="2">
        <f t="shared" si="71"/>
        <v>152.32222222222222</v>
      </c>
      <c r="AB264" s="2">
        <f t="shared" si="71"/>
        <v>144.14444444444445</v>
      </c>
      <c r="AC264" s="2">
        <f t="shared" si="71"/>
        <v>138.53333333333333</v>
      </c>
      <c r="AD264" s="2">
        <f t="shared" si="71"/>
        <v>147.57777777777775</v>
      </c>
      <c r="AE264" s="2">
        <f t="shared" si="40"/>
        <v>1926.077777777778</v>
      </c>
      <c r="AF264" s="2">
        <f t="shared" si="41"/>
        <v>426.38888888888886</v>
      </c>
      <c r="AG264" s="2">
        <f t="shared" si="42"/>
        <v>295.51111111111112</v>
      </c>
      <c r="AH264" s="2">
        <f t="shared" si="43"/>
        <v>139.13333333333333</v>
      </c>
      <c r="AI264" s="2">
        <f t="shared" si="44"/>
        <v>1014.9444444444445</v>
      </c>
      <c r="AJ264" s="2">
        <f t="shared" si="45"/>
        <v>148.15982905982906</v>
      </c>
      <c r="AK264" s="2">
        <f t="shared" si="46"/>
        <v>142.12962962962962</v>
      </c>
      <c r="AL264" s="2">
        <f t="shared" si="47"/>
        <v>147.75555555555556</v>
      </c>
      <c r="AM264" s="2">
        <f t="shared" si="48"/>
        <v>139.13333333333333</v>
      </c>
      <c r="AN264" s="2">
        <f t="shared" si="49"/>
        <v>144.99206349206349</v>
      </c>
    </row>
    <row r="265" spans="1:40" x14ac:dyDescent="0.3">
      <c r="A265" t="s">
        <v>33</v>
      </c>
      <c r="B265">
        <v>2020</v>
      </c>
      <c r="C265" t="s">
        <v>37</v>
      </c>
      <c r="D265" s="2">
        <f t="shared" si="70"/>
        <v>146.19999999999999</v>
      </c>
      <c r="E265" s="2">
        <f t="shared" si="70"/>
        <v>167.26666666666665</v>
      </c>
      <c r="F265" s="2">
        <f t="shared" si="70"/>
        <v>149.56666666666666</v>
      </c>
      <c r="G265" s="2">
        <f t="shared" si="70"/>
        <v>152.63333333333335</v>
      </c>
      <c r="H265" s="2">
        <f t="shared" si="70"/>
        <v>132.56666666666663</v>
      </c>
      <c r="I265" s="2">
        <f t="shared" si="70"/>
        <v>144.73333333333332</v>
      </c>
      <c r="J265" s="2">
        <f t="shared" si="70"/>
        <v>165.53333333333333</v>
      </c>
      <c r="K265" s="2">
        <f t="shared" si="70"/>
        <v>144.20000000000002</v>
      </c>
      <c r="L265" s="2">
        <f t="shared" si="70"/>
        <v>115.7</v>
      </c>
      <c r="M265" s="2">
        <f t="shared" ref="M265:AD265" si="72">AVERAGE(M262,M259,M256)</f>
        <v>154.1</v>
      </c>
      <c r="N265" s="2">
        <f t="shared" si="72"/>
        <v>136.66666666666666</v>
      </c>
      <c r="O265" s="2">
        <f t="shared" si="72"/>
        <v>159.26666666666665</v>
      </c>
      <c r="P265" s="2">
        <f t="shared" si="72"/>
        <v>150.26666666666668</v>
      </c>
      <c r="Q265" s="2">
        <f t="shared" si="72"/>
        <v>170.48888888888891</v>
      </c>
      <c r="R265" s="2">
        <f t="shared" si="72"/>
        <v>150.94444444444443</v>
      </c>
      <c r="S265" s="2">
        <f t="shared" si="72"/>
        <v>141.76666666666668</v>
      </c>
      <c r="T265" s="2">
        <f t="shared" si="72"/>
        <v>149.6</v>
      </c>
      <c r="U265" s="2">
        <f t="shared" si="72"/>
        <v>154.96666666666667</v>
      </c>
      <c r="V265" s="2">
        <f t="shared" si="72"/>
        <v>146.73333333333332</v>
      </c>
      <c r="W265" s="2">
        <f t="shared" si="72"/>
        <v>146.37777777777777</v>
      </c>
      <c r="X265" s="2">
        <f t="shared" si="72"/>
        <v>151.56666666666666</v>
      </c>
      <c r="Y265" s="2">
        <f t="shared" si="72"/>
        <v>130.1888888888889</v>
      </c>
      <c r="Z265" s="2">
        <f t="shared" si="72"/>
        <v>143.37777777777777</v>
      </c>
      <c r="AA265" s="2">
        <f t="shared" si="72"/>
        <v>156.14444444444445</v>
      </c>
      <c r="AB265" s="2">
        <f t="shared" si="72"/>
        <v>144.07777777777778</v>
      </c>
      <c r="AC265" s="2">
        <f t="shared" si="72"/>
        <v>143.66666666666666</v>
      </c>
      <c r="AD265" s="2">
        <f t="shared" si="72"/>
        <v>149</v>
      </c>
      <c r="AE265" s="2">
        <f t="shared" si="40"/>
        <v>1918.7</v>
      </c>
      <c r="AF265" s="2">
        <f t="shared" si="41"/>
        <v>442.31111111111113</v>
      </c>
      <c r="AG265" s="2">
        <f t="shared" si="42"/>
        <v>301.34444444444443</v>
      </c>
      <c r="AH265" s="2">
        <f t="shared" si="43"/>
        <v>146.73333333333332</v>
      </c>
      <c r="AI265" s="2">
        <f t="shared" si="44"/>
        <v>1039.5111111111112</v>
      </c>
      <c r="AJ265" s="2">
        <f t="shared" si="45"/>
        <v>147.59230769230768</v>
      </c>
      <c r="AK265" s="2">
        <f t="shared" si="46"/>
        <v>147.43703703703704</v>
      </c>
      <c r="AL265" s="2">
        <f t="shared" si="47"/>
        <v>150.67222222222222</v>
      </c>
      <c r="AM265" s="2">
        <f t="shared" si="48"/>
        <v>146.73333333333332</v>
      </c>
      <c r="AN265" s="2">
        <f t="shared" si="49"/>
        <v>148.50158730158731</v>
      </c>
    </row>
    <row r="266" spans="1:40" x14ac:dyDescent="0.3">
      <c r="A266" t="s">
        <v>30</v>
      </c>
      <c r="B266">
        <v>2020</v>
      </c>
      <c r="C266" t="s">
        <v>38</v>
      </c>
      <c r="D266" s="2">
        <v>148.19999999999999</v>
      </c>
      <c r="E266" s="2">
        <v>190.3</v>
      </c>
      <c r="F266" s="2">
        <v>149.4</v>
      </c>
      <c r="G266" s="2">
        <v>153.30000000000001</v>
      </c>
      <c r="H266" s="2">
        <v>138.19999999999999</v>
      </c>
      <c r="I266" s="2">
        <v>143.19999999999999</v>
      </c>
      <c r="J266" s="2">
        <v>148.9</v>
      </c>
      <c r="K266" s="2">
        <v>150.30000000000001</v>
      </c>
      <c r="L266" s="2">
        <v>113.2</v>
      </c>
      <c r="M266" s="2">
        <v>159.80000000000001</v>
      </c>
      <c r="N266" s="2">
        <v>142.1</v>
      </c>
      <c r="O266" s="2">
        <v>161.80000000000001</v>
      </c>
      <c r="P266" s="2">
        <v>152.30000000000001</v>
      </c>
      <c r="Q266" s="2">
        <v>182.4</v>
      </c>
      <c r="R266" s="2">
        <v>154.69999999999999</v>
      </c>
      <c r="S266" s="2">
        <v>150</v>
      </c>
      <c r="T266" s="2">
        <v>154.1</v>
      </c>
      <c r="U266" s="2">
        <f>AVERAGE(U267,U268)</f>
        <v>154.69999999999999</v>
      </c>
      <c r="V266" s="2">
        <v>144.9</v>
      </c>
      <c r="W266" s="2">
        <v>151.69999999999999</v>
      </c>
      <c r="X266" s="2">
        <v>158.19999999999999</v>
      </c>
      <c r="Y266" s="2">
        <v>141.4</v>
      </c>
      <c r="Z266" s="2">
        <v>153.19999999999999</v>
      </c>
      <c r="AA266" s="2">
        <v>161.80000000000001</v>
      </c>
      <c r="AB266" s="2">
        <v>151.19999999999999</v>
      </c>
      <c r="AC266" s="2">
        <v>151.69999999999999</v>
      </c>
      <c r="AD266" s="2">
        <v>152.69999999999999</v>
      </c>
      <c r="AE266" s="2">
        <f t="shared" si="40"/>
        <v>1951</v>
      </c>
      <c r="AF266" s="2">
        <f t="shared" si="41"/>
        <v>458.79999999999995</v>
      </c>
      <c r="AG266" s="2">
        <f t="shared" si="42"/>
        <v>306.39999999999998</v>
      </c>
      <c r="AH266" s="2">
        <f t="shared" si="43"/>
        <v>144.9</v>
      </c>
      <c r="AI266" s="2">
        <f t="shared" si="44"/>
        <v>1099.9000000000001</v>
      </c>
      <c r="AJ266" s="2">
        <f t="shared" si="45"/>
        <v>150.07692307692307</v>
      </c>
      <c r="AK266" s="2">
        <f t="shared" si="46"/>
        <v>152.93333333333331</v>
      </c>
      <c r="AL266" s="2">
        <f t="shared" si="47"/>
        <v>153.19999999999999</v>
      </c>
      <c r="AM266" s="2">
        <f t="shared" si="48"/>
        <v>144.9</v>
      </c>
      <c r="AN266" s="2">
        <f t="shared" si="49"/>
        <v>157.12857142857143</v>
      </c>
    </row>
    <row r="267" spans="1:40" x14ac:dyDescent="0.3">
      <c r="A267" t="s">
        <v>32</v>
      </c>
      <c r="B267">
        <v>2020</v>
      </c>
      <c r="C267" t="s">
        <v>38</v>
      </c>
      <c r="D267" s="2">
        <v>152.69999999999999</v>
      </c>
      <c r="E267" s="2">
        <v>197</v>
      </c>
      <c r="F267" s="2">
        <v>154.6</v>
      </c>
      <c r="G267" s="2">
        <v>153.4</v>
      </c>
      <c r="H267" s="2">
        <v>132.9</v>
      </c>
      <c r="I267" s="2">
        <v>151.80000000000001</v>
      </c>
      <c r="J267" s="2">
        <v>171.2</v>
      </c>
      <c r="K267" s="2">
        <v>152</v>
      </c>
      <c r="L267" s="2">
        <v>116.3</v>
      </c>
      <c r="M267" s="2">
        <v>158.80000000000001</v>
      </c>
      <c r="N267" s="2">
        <v>135.6</v>
      </c>
      <c r="O267" s="2">
        <v>161.69999999999999</v>
      </c>
      <c r="P267" s="2">
        <v>157</v>
      </c>
      <c r="Q267" s="2">
        <v>186.7</v>
      </c>
      <c r="R267" s="2">
        <v>149.1</v>
      </c>
      <c r="S267" s="2">
        <v>136.6</v>
      </c>
      <c r="T267" s="2">
        <v>147.19999999999999</v>
      </c>
      <c r="U267" s="2">
        <v>154.69999999999999</v>
      </c>
      <c r="V267" s="2">
        <v>137.1</v>
      </c>
      <c r="W267" s="2">
        <v>140.4</v>
      </c>
      <c r="X267" s="2">
        <v>148.1</v>
      </c>
      <c r="Y267" s="2">
        <v>129.30000000000001</v>
      </c>
      <c r="Z267" s="2">
        <v>144.5</v>
      </c>
      <c r="AA267" s="2">
        <v>152.5</v>
      </c>
      <c r="AB267" s="2">
        <v>152.19999999999999</v>
      </c>
      <c r="AC267" s="2">
        <v>142</v>
      </c>
      <c r="AD267" s="2">
        <v>150.80000000000001</v>
      </c>
      <c r="AE267" s="2">
        <f t="shared" si="40"/>
        <v>1994.9999999999998</v>
      </c>
      <c r="AF267" s="2">
        <f t="shared" si="41"/>
        <v>432.9</v>
      </c>
      <c r="AG267" s="2">
        <f t="shared" si="42"/>
        <v>295.10000000000002</v>
      </c>
      <c r="AH267" s="2">
        <f t="shared" si="43"/>
        <v>137.1</v>
      </c>
      <c r="AI267" s="2">
        <f t="shared" si="44"/>
        <v>1055.3</v>
      </c>
      <c r="AJ267" s="2">
        <f t="shared" si="45"/>
        <v>153.46153846153845</v>
      </c>
      <c r="AK267" s="2">
        <f t="shared" si="46"/>
        <v>144.29999999999998</v>
      </c>
      <c r="AL267" s="2">
        <f t="shared" si="47"/>
        <v>147.55000000000001</v>
      </c>
      <c r="AM267" s="2">
        <f t="shared" si="48"/>
        <v>137.1</v>
      </c>
      <c r="AN267" s="2">
        <f t="shared" si="49"/>
        <v>150.75714285714284</v>
      </c>
    </row>
    <row r="268" spans="1:40" x14ac:dyDescent="0.3">
      <c r="A268" t="s">
        <v>33</v>
      </c>
      <c r="B268">
        <v>2020</v>
      </c>
      <c r="C268" t="s">
        <v>38</v>
      </c>
      <c r="D268" s="2">
        <v>149.6</v>
      </c>
      <c r="E268" s="2">
        <v>192.7</v>
      </c>
      <c r="F268" s="2">
        <v>151.4</v>
      </c>
      <c r="G268" s="2">
        <v>153.30000000000001</v>
      </c>
      <c r="H268" s="2">
        <v>136.30000000000001</v>
      </c>
      <c r="I268" s="2">
        <v>147.19999999999999</v>
      </c>
      <c r="J268" s="2">
        <v>156.5</v>
      </c>
      <c r="K268" s="2">
        <v>150.9</v>
      </c>
      <c r="L268" s="2">
        <v>114.2</v>
      </c>
      <c r="M268" s="2">
        <v>159.5</v>
      </c>
      <c r="N268" s="2">
        <v>139.4</v>
      </c>
      <c r="O268" s="2">
        <v>161.80000000000001</v>
      </c>
      <c r="P268" s="2">
        <v>154</v>
      </c>
      <c r="Q268" s="2">
        <v>183.5</v>
      </c>
      <c r="R268" s="2">
        <v>152.5</v>
      </c>
      <c r="S268" s="2">
        <v>144.4</v>
      </c>
      <c r="T268" s="2">
        <v>151.4</v>
      </c>
      <c r="U268" s="2">
        <v>154.69999999999999</v>
      </c>
      <c r="V268" s="2">
        <v>141.9</v>
      </c>
      <c r="W268" s="2">
        <v>146.4</v>
      </c>
      <c r="X268" s="2">
        <v>154.4</v>
      </c>
      <c r="Y268" s="2">
        <v>135</v>
      </c>
      <c r="Z268" s="2">
        <v>148.30000000000001</v>
      </c>
      <c r="AA268" s="2">
        <v>156.4</v>
      </c>
      <c r="AB268" s="2">
        <v>151.6</v>
      </c>
      <c r="AC268" s="2">
        <v>147</v>
      </c>
      <c r="AD268" s="2">
        <v>151.80000000000001</v>
      </c>
      <c r="AE268" s="2">
        <f t="shared" si="40"/>
        <v>1966.8000000000002</v>
      </c>
      <c r="AF268" s="2">
        <f t="shared" si="41"/>
        <v>448.29999999999995</v>
      </c>
      <c r="AG268" s="2">
        <f t="shared" si="42"/>
        <v>301.10000000000002</v>
      </c>
      <c r="AH268" s="2">
        <f t="shared" si="43"/>
        <v>141.9</v>
      </c>
      <c r="AI268" s="2">
        <f t="shared" si="44"/>
        <v>1076.2</v>
      </c>
      <c r="AJ268" s="2">
        <f t="shared" si="45"/>
        <v>151.2923076923077</v>
      </c>
      <c r="AK268" s="2">
        <f t="shared" si="46"/>
        <v>149.43333333333331</v>
      </c>
      <c r="AL268" s="2">
        <f t="shared" si="47"/>
        <v>150.55000000000001</v>
      </c>
      <c r="AM268" s="2">
        <f t="shared" si="48"/>
        <v>141.9</v>
      </c>
      <c r="AN268" s="2">
        <f t="shared" si="49"/>
        <v>153.74285714285716</v>
      </c>
    </row>
    <row r="269" spans="1:40" x14ac:dyDescent="0.3">
      <c r="A269" t="s">
        <v>30</v>
      </c>
      <c r="B269">
        <v>2020</v>
      </c>
      <c r="C269" t="s">
        <v>39</v>
      </c>
      <c r="D269" s="2">
        <v>148.19999999999999</v>
      </c>
      <c r="E269" s="2">
        <v>190.3</v>
      </c>
      <c r="F269" s="2">
        <v>149.4</v>
      </c>
      <c r="G269" s="2">
        <v>153.30000000000001</v>
      </c>
      <c r="H269" s="2">
        <v>138.19999999999999</v>
      </c>
      <c r="I269" s="2">
        <v>143.19999999999999</v>
      </c>
      <c r="J269" s="2">
        <v>148.9</v>
      </c>
      <c r="K269" s="2">
        <v>150.30000000000001</v>
      </c>
      <c r="L269" s="2">
        <v>113.2</v>
      </c>
      <c r="M269" s="2">
        <v>159.80000000000001</v>
      </c>
      <c r="N269" s="2">
        <v>142.1</v>
      </c>
      <c r="O269" s="2">
        <v>161.80000000000001</v>
      </c>
      <c r="P269" s="2">
        <v>152.30000000000001</v>
      </c>
      <c r="Q269" s="2">
        <v>182.4</v>
      </c>
      <c r="R269" s="2">
        <v>154.69999999999999</v>
      </c>
      <c r="S269" s="2">
        <v>150</v>
      </c>
      <c r="T269" s="2">
        <v>154.1</v>
      </c>
      <c r="U269" s="2">
        <f>AVERAGE(U270,U271)</f>
        <v>154.69999999999999</v>
      </c>
      <c r="V269" s="2">
        <v>144.9</v>
      </c>
      <c r="W269" s="2">
        <v>151.69999999999999</v>
      </c>
      <c r="X269" s="2">
        <v>158.19999999999999</v>
      </c>
      <c r="Y269" s="2">
        <v>141.4</v>
      </c>
      <c r="Z269" s="2">
        <v>153.19999999999999</v>
      </c>
      <c r="AA269" s="2">
        <v>161.80000000000001</v>
      </c>
      <c r="AB269" s="2">
        <v>151.19999999999999</v>
      </c>
      <c r="AC269" s="2">
        <v>151.69999999999999</v>
      </c>
      <c r="AD269" s="2">
        <v>152.69999999999999</v>
      </c>
      <c r="AE269" s="2">
        <f t="shared" si="40"/>
        <v>1951</v>
      </c>
      <c r="AF269" s="2">
        <f t="shared" si="41"/>
        <v>458.79999999999995</v>
      </c>
      <c r="AG269" s="2">
        <f t="shared" si="42"/>
        <v>306.39999999999998</v>
      </c>
      <c r="AH269" s="2">
        <f t="shared" si="43"/>
        <v>144.9</v>
      </c>
      <c r="AI269" s="2">
        <f t="shared" si="44"/>
        <v>1099.9000000000001</v>
      </c>
      <c r="AJ269" s="2">
        <f t="shared" si="45"/>
        <v>150.07692307692307</v>
      </c>
      <c r="AK269" s="2">
        <f t="shared" si="46"/>
        <v>152.93333333333331</v>
      </c>
      <c r="AL269" s="2">
        <f t="shared" si="47"/>
        <v>153.19999999999999</v>
      </c>
      <c r="AM269" s="2">
        <f t="shared" si="48"/>
        <v>144.9</v>
      </c>
      <c r="AN269" s="2">
        <f t="shared" si="49"/>
        <v>157.12857142857143</v>
      </c>
    </row>
    <row r="270" spans="1:40" x14ac:dyDescent="0.3">
      <c r="A270" t="s">
        <v>32</v>
      </c>
      <c r="B270">
        <v>2020</v>
      </c>
      <c r="C270" t="s">
        <v>39</v>
      </c>
      <c r="D270" s="2">
        <v>152.69999999999999</v>
      </c>
      <c r="E270" s="2">
        <v>197</v>
      </c>
      <c r="F270" s="2">
        <v>154.6</v>
      </c>
      <c r="G270" s="2">
        <v>153.4</v>
      </c>
      <c r="H270" s="2">
        <v>132.9</v>
      </c>
      <c r="I270" s="2">
        <v>151.80000000000001</v>
      </c>
      <c r="J270" s="2">
        <v>171.2</v>
      </c>
      <c r="K270" s="2">
        <v>152</v>
      </c>
      <c r="L270" s="2">
        <v>116.3</v>
      </c>
      <c r="M270" s="2">
        <v>158.80000000000001</v>
      </c>
      <c r="N270" s="2">
        <v>135.6</v>
      </c>
      <c r="O270" s="2">
        <v>161.69999999999999</v>
      </c>
      <c r="P270" s="2">
        <v>157</v>
      </c>
      <c r="Q270" s="2">
        <v>186.7</v>
      </c>
      <c r="R270" s="2">
        <v>149.1</v>
      </c>
      <c r="S270" s="2">
        <v>136.6</v>
      </c>
      <c r="T270" s="2">
        <v>147.19999999999999</v>
      </c>
      <c r="U270" s="2">
        <v>154.69999999999999</v>
      </c>
      <c r="V270" s="2">
        <v>137.1</v>
      </c>
      <c r="W270" s="2">
        <v>140.4</v>
      </c>
      <c r="X270" s="2">
        <v>148.1</v>
      </c>
      <c r="Y270" s="2">
        <v>129.30000000000001</v>
      </c>
      <c r="Z270" s="2">
        <v>144.5</v>
      </c>
      <c r="AA270" s="2">
        <v>152.5</v>
      </c>
      <c r="AB270" s="2">
        <v>152.19999999999999</v>
      </c>
      <c r="AC270" s="2">
        <v>142</v>
      </c>
      <c r="AD270" s="2">
        <v>150.80000000000001</v>
      </c>
      <c r="AE270" s="2">
        <f t="shared" si="40"/>
        <v>1994.9999999999998</v>
      </c>
      <c r="AF270" s="2">
        <f t="shared" si="41"/>
        <v>432.9</v>
      </c>
      <c r="AG270" s="2">
        <f t="shared" si="42"/>
        <v>295.10000000000002</v>
      </c>
      <c r="AH270" s="2">
        <f t="shared" si="43"/>
        <v>137.1</v>
      </c>
      <c r="AI270" s="2">
        <f t="shared" si="44"/>
        <v>1055.3</v>
      </c>
      <c r="AJ270" s="2">
        <f t="shared" si="45"/>
        <v>153.46153846153845</v>
      </c>
      <c r="AK270" s="2">
        <f t="shared" si="46"/>
        <v>144.29999999999998</v>
      </c>
      <c r="AL270" s="2">
        <f t="shared" si="47"/>
        <v>147.55000000000001</v>
      </c>
      <c r="AM270" s="2">
        <f t="shared" si="48"/>
        <v>137.1</v>
      </c>
      <c r="AN270" s="2">
        <f t="shared" si="49"/>
        <v>150.75714285714284</v>
      </c>
    </row>
    <row r="271" spans="1:40" x14ac:dyDescent="0.3">
      <c r="A271" t="s">
        <v>33</v>
      </c>
      <c r="B271">
        <v>2020</v>
      </c>
      <c r="C271" t="s">
        <v>39</v>
      </c>
      <c r="D271" s="2">
        <v>149.6</v>
      </c>
      <c r="E271" s="2">
        <v>192.7</v>
      </c>
      <c r="F271" s="2">
        <v>151.4</v>
      </c>
      <c r="G271" s="2">
        <v>153.30000000000001</v>
      </c>
      <c r="H271" s="2">
        <v>136.30000000000001</v>
      </c>
      <c r="I271" s="2">
        <v>147.19999999999999</v>
      </c>
      <c r="J271" s="2">
        <v>156.5</v>
      </c>
      <c r="K271" s="2">
        <v>150.9</v>
      </c>
      <c r="L271" s="2">
        <v>114.2</v>
      </c>
      <c r="M271" s="2">
        <v>159.5</v>
      </c>
      <c r="N271" s="2">
        <v>139.4</v>
      </c>
      <c r="O271" s="2">
        <v>161.80000000000001</v>
      </c>
      <c r="P271" s="2">
        <v>154</v>
      </c>
      <c r="Q271" s="2">
        <v>183.5</v>
      </c>
      <c r="R271" s="2">
        <v>152.5</v>
      </c>
      <c r="S271" s="2">
        <v>144.4</v>
      </c>
      <c r="T271" s="2">
        <v>151.4</v>
      </c>
      <c r="U271" s="2">
        <v>154.69999999999999</v>
      </c>
      <c r="V271" s="2">
        <v>141.9</v>
      </c>
      <c r="W271" s="2">
        <v>146.4</v>
      </c>
      <c r="X271" s="2">
        <v>154.4</v>
      </c>
      <c r="Y271" s="2">
        <v>135</v>
      </c>
      <c r="Z271" s="2">
        <v>148.30000000000001</v>
      </c>
      <c r="AA271" s="2">
        <v>156.4</v>
      </c>
      <c r="AB271" s="2">
        <v>151.6</v>
      </c>
      <c r="AC271" s="2">
        <v>147</v>
      </c>
      <c r="AD271" s="2">
        <v>151.80000000000001</v>
      </c>
      <c r="AE271" s="2">
        <f t="shared" si="40"/>
        <v>1966.8000000000002</v>
      </c>
      <c r="AF271" s="2">
        <f t="shared" si="41"/>
        <v>448.29999999999995</v>
      </c>
      <c r="AG271" s="2">
        <f t="shared" si="42"/>
        <v>301.10000000000002</v>
      </c>
      <c r="AH271" s="2">
        <f t="shared" si="43"/>
        <v>141.9</v>
      </c>
      <c r="AI271" s="2">
        <f t="shared" si="44"/>
        <v>1076.2</v>
      </c>
      <c r="AJ271" s="2">
        <f t="shared" si="45"/>
        <v>151.2923076923077</v>
      </c>
      <c r="AK271" s="2">
        <f t="shared" si="46"/>
        <v>149.43333333333331</v>
      </c>
      <c r="AL271" s="2">
        <f t="shared" si="47"/>
        <v>150.55000000000001</v>
      </c>
      <c r="AM271" s="2">
        <f t="shared" si="48"/>
        <v>141.9</v>
      </c>
      <c r="AN271" s="2">
        <f t="shared" si="49"/>
        <v>153.74285714285716</v>
      </c>
    </row>
    <row r="272" spans="1:40" x14ac:dyDescent="0.3">
      <c r="A272" t="s">
        <v>30</v>
      </c>
      <c r="B272">
        <v>2020</v>
      </c>
      <c r="C272" t="s">
        <v>40</v>
      </c>
      <c r="D272" s="2">
        <v>147.6</v>
      </c>
      <c r="E272" s="2">
        <v>187.2</v>
      </c>
      <c r="F272" s="2">
        <v>148.4</v>
      </c>
      <c r="G272" s="2">
        <v>153.30000000000001</v>
      </c>
      <c r="H272" s="2">
        <v>139.80000000000001</v>
      </c>
      <c r="I272" s="2">
        <v>146.9</v>
      </c>
      <c r="J272" s="2">
        <v>171</v>
      </c>
      <c r="K272" s="2">
        <v>149.9</v>
      </c>
      <c r="L272" s="2">
        <v>114.2</v>
      </c>
      <c r="M272" s="2">
        <v>160</v>
      </c>
      <c r="N272" s="2">
        <v>143.5</v>
      </c>
      <c r="O272" s="2">
        <v>161.5</v>
      </c>
      <c r="P272" s="2">
        <v>155.30000000000001</v>
      </c>
      <c r="Q272" s="2">
        <v>180.9</v>
      </c>
      <c r="R272" s="2">
        <v>155.1</v>
      </c>
      <c r="S272" s="2">
        <v>149.30000000000001</v>
      </c>
      <c r="T272" s="2">
        <v>154.30000000000001</v>
      </c>
      <c r="U272" s="2">
        <f>AVERAGE(U273,U274)</f>
        <v>155.5</v>
      </c>
      <c r="V272" s="2">
        <v>145.80000000000001</v>
      </c>
      <c r="W272" s="2">
        <v>151.9</v>
      </c>
      <c r="X272" s="2">
        <v>158.80000000000001</v>
      </c>
      <c r="Y272" s="2">
        <v>143.6</v>
      </c>
      <c r="Z272" s="2">
        <v>152.19999999999999</v>
      </c>
      <c r="AA272" s="2">
        <v>162.69999999999999</v>
      </c>
      <c r="AB272" s="2">
        <v>153.6</v>
      </c>
      <c r="AC272" s="2">
        <v>153</v>
      </c>
      <c r="AD272" s="2">
        <v>154.69999999999999</v>
      </c>
      <c r="AE272" s="2">
        <f t="shared" si="40"/>
        <v>1978.6</v>
      </c>
      <c r="AF272" s="2">
        <f t="shared" si="41"/>
        <v>458.7</v>
      </c>
      <c r="AG272" s="2">
        <f t="shared" si="42"/>
        <v>307.39999999999998</v>
      </c>
      <c r="AH272" s="2">
        <f t="shared" si="43"/>
        <v>145.80000000000001</v>
      </c>
      <c r="AI272" s="2">
        <f t="shared" si="44"/>
        <v>1104.8</v>
      </c>
      <c r="AJ272" s="2">
        <f t="shared" si="45"/>
        <v>152.19999999999999</v>
      </c>
      <c r="AK272" s="2">
        <f t="shared" si="46"/>
        <v>152.9</v>
      </c>
      <c r="AL272" s="2">
        <f t="shared" si="47"/>
        <v>153.69999999999999</v>
      </c>
      <c r="AM272" s="2">
        <f t="shared" si="48"/>
        <v>145.80000000000001</v>
      </c>
      <c r="AN272" s="2">
        <f t="shared" si="49"/>
        <v>157.82857142857142</v>
      </c>
    </row>
    <row r="273" spans="1:40" x14ac:dyDescent="0.3">
      <c r="A273" t="s">
        <v>32</v>
      </c>
      <c r="B273">
        <v>2020</v>
      </c>
      <c r="C273" t="s">
        <v>40</v>
      </c>
      <c r="D273" s="2">
        <v>151.6</v>
      </c>
      <c r="E273" s="2">
        <v>197.8</v>
      </c>
      <c r="F273" s="2">
        <v>154.5</v>
      </c>
      <c r="G273" s="2">
        <v>153.4</v>
      </c>
      <c r="H273" s="2">
        <v>133.4</v>
      </c>
      <c r="I273" s="2">
        <v>154.5</v>
      </c>
      <c r="J273" s="2">
        <v>191.9</v>
      </c>
      <c r="K273" s="2">
        <v>151.30000000000001</v>
      </c>
      <c r="L273" s="2">
        <v>116.8</v>
      </c>
      <c r="M273" s="2">
        <v>160</v>
      </c>
      <c r="N273" s="2">
        <v>136.5</v>
      </c>
      <c r="O273" s="2">
        <v>163.30000000000001</v>
      </c>
      <c r="P273" s="2">
        <v>159.9</v>
      </c>
      <c r="Q273" s="2">
        <v>187.2</v>
      </c>
      <c r="R273" s="2">
        <v>150</v>
      </c>
      <c r="S273" s="2">
        <v>135.19999999999999</v>
      </c>
      <c r="T273" s="2">
        <v>147.80000000000001</v>
      </c>
      <c r="U273" s="2">
        <v>155.5</v>
      </c>
      <c r="V273" s="2">
        <v>138.30000000000001</v>
      </c>
      <c r="W273" s="2">
        <v>144.5</v>
      </c>
      <c r="X273" s="2">
        <v>148.69999999999999</v>
      </c>
      <c r="Y273" s="2">
        <v>133.9</v>
      </c>
      <c r="Z273" s="2">
        <v>141.19999999999999</v>
      </c>
      <c r="AA273" s="2">
        <v>155.5</v>
      </c>
      <c r="AB273" s="2">
        <v>155.19999999999999</v>
      </c>
      <c r="AC273" s="2">
        <v>144.80000000000001</v>
      </c>
      <c r="AD273" s="2">
        <v>152.9</v>
      </c>
      <c r="AE273" s="2">
        <f t="shared" si="40"/>
        <v>2024.8999999999999</v>
      </c>
      <c r="AF273" s="2">
        <f t="shared" si="41"/>
        <v>433</v>
      </c>
      <c r="AG273" s="2">
        <f t="shared" si="42"/>
        <v>300</v>
      </c>
      <c r="AH273" s="2">
        <f t="shared" si="43"/>
        <v>138.30000000000001</v>
      </c>
      <c r="AI273" s="2">
        <f t="shared" si="44"/>
        <v>1066.5</v>
      </c>
      <c r="AJ273" s="2">
        <f t="shared" si="45"/>
        <v>155.76153846153846</v>
      </c>
      <c r="AK273" s="2">
        <f t="shared" si="46"/>
        <v>144.33333333333334</v>
      </c>
      <c r="AL273" s="2">
        <f t="shared" si="47"/>
        <v>150</v>
      </c>
      <c r="AM273" s="2">
        <f t="shared" si="48"/>
        <v>138.30000000000001</v>
      </c>
      <c r="AN273" s="2">
        <f t="shared" si="49"/>
        <v>152.35714285714286</v>
      </c>
    </row>
    <row r="274" spans="1:40" x14ac:dyDescent="0.3">
      <c r="A274" t="s">
        <v>33</v>
      </c>
      <c r="B274">
        <v>2020</v>
      </c>
      <c r="C274" t="s">
        <v>40</v>
      </c>
      <c r="D274" s="2">
        <v>148.9</v>
      </c>
      <c r="E274" s="2">
        <v>190.9</v>
      </c>
      <c r="F274" s="2">
        <v>150.80000000000001</v>
      </c>
      <c r="G274" s="2">
        <v>153.30000000000001</v>
      </c>
      <c r="H274" s="2">
        <v>137.4</v>
      </c>
      <c r="I274" s="2">
        <v>150.4</v>
      </c>
      <c r="J274" s="2">
        <v>178.1</v>
      </c>
      <c r="K274" s="2">
        <v>150.4</v>
      </c>
      <c r="L274" s="2">
        <v>115.1</v>
      </c>
      <c r="M274" s="2">
        <v>160</v>
      </c>
      <c r="N274" s="2">
        <v>140.6</v>
      </c>
      <c r="O274" s="2">
        <v>162.30000000000001</v>
      </c>
      <c r="P274" s="2">
        <v>157</v>
      </c>
      <c r="Q274" s="2">
        <v>182.6</v>
      </c>
      <c r="R274" s="2">
        <v>153.1</v>
      </c>
      <c r="S274" s="2">
        <v>143.4</v>
      </c>
      <c r="T274" s="2">
        <v>151.69999999999999</v>
      </c>
      <c r="U274" s="2">
        <v>155.5</v>
      </c>
      <c r="V274" s="2">
        <v>143</v>
      </c>
      <c r="W274" s="2">
        <v>148.4</v>
      </c>
      <c r="X274" s="2">
        <v>155</v>
      </c>
      <c r="Y274" s="2">
        <v>138.5</v>
      </c>
      <c r="Z274" s="2">
        <v>146</v>
      </c>
      <c r="AA274" s="2">
        <v>158.5</v>
      </c>
      <c r="AB274" s="2">
        <v>154.30000000000001</v>
      </c>
      <c r="AC274" s="2">
        <v>149</v>
      </c>
      <c r="AD274" s="2">
        <v>153.9</v>
      </c>
      <c r="AE274" s="2">
        <f t="shared" si="40"/>
        <v>1995.1999999999998</v>
      </c>
      <c r="AF274" s="2">
        <f t="shared" si="41"/>
        <v>448.2</v>
      </c>
      <c r="AG274" s="2">
        <f t="shared" si="42"/>
        <v>303.89999999999998</v>
      </c>
      <c r="AH274" s="2">
        <f t="shared" si="43"/>
        <v>143</v>
      </c>
      <c r="AI274" s="2">
        <f t="shared" si="44"/>
        <v>1083.8999999999999</v>
      </c>
      <c r="AJ274" s="2">
        <f t="shared" si="45"/>
        <v>153.47692307692307</v>
      </c>
      <c r="AK274" s="2">
        <f t="shared" si="46"/>
        <v>149.4</v>
      </c>
      <c r="AL274" s="2">
        <f t="shared" si="47"/>
        <v>151.94999999999999</v>
      </c>
      <c r="AM274" s="2">
        <f t="shared" si="48"/>
        <v>143</v>
      </c>
      <c r="AN274" s="2">
        <f t="shared" si="49"/>
        <v>154.84285714285713</v>
      </c>
    </row>
    <row r="275" spans="1:40" x14ac:dyDescent="0.3">
      <c r="A275" t="s">
        <v>30</v>
      </c>
      <c r="B275">
        <v>2020</v>
      </c>
      <c r="C275" t="s">
        <v>41</v>
      </c>
      <c r="D275" s="2">
        <v>146.9</v>
      </c>
      <c r="E275" s="2">
        <v>183.9</v>
      </c>
      <c r="F275" s="2">
        <v>149.5</v>
      </c>
      <c r="G275" s="2">
        <v>153.4</v>
      </c>
      <c r="H275" s="2">
        <v>140.4</v>
      </c>
      <c r="I275" s="2">
        <v>147</v>
      </c>
      <c r="J275" s="2">
        <v>178.8</v>
      </c>
      <c r="K275" s="2">
        <v>149.30000000000001</v>
      </c>
      <c r="L275" s="2">
        <v>115.1</v>
      </c>
      <c r="M275" s="2">
        <v>160</v>
      </c>
      <c r="N275" s="2">
        <v>145.4</v>
      </c>
      <c r="O275" s="2">
        <v>161.6</v>
      </c>
      <c r="P275" s="2">
        <v>156.1</v>
      </c>
      <c r="Q275" s="2">
        <v>182.9</v>
      </c>
      <c r="R275" s="2">
        <v>155.4</v>
      </c>
      <c r="S275" s="2">
        <v>149.9</v>
      </c>
      <c r="T275" s="2">
        <v>154.6</v>
      </c>
      <c r="U275" s="2">
        <f>AVERAGE(U276,U277)</f>
        <v>156.30000000000001</v>
      </c>
      <c r="V275" s="2">
        <v>146.4</v>
      </c>
      <c r="W275" s="2">
        <v>151.6</v>
      </c>
      <c r="X275" s="2">
        <v>159.1</v>
      </c>
      <c r="Y275" s="2">
        <v>144.6</v>
      </c>
      <c r="Z275" s="2">
        <v>152.80000000000001</v>
      </c>
      <c r="AA275" s="2">
        <v>161.1</v>
      </c>
      <c r="AB275" s="2">
        <v>157.4</v>
      </c>
      <c r="AC275" s="2">
        <v>153.69999999999999</v>
      </c>
      <c r="AD275" s="2">
        <v>155.4</v>
      </c>
      <c r="AE275" s="2">
        <f t="shared" si="40"/>
        <v>1987.3999999999999</v>
      </c>
      <c r="AF275" s="2">
        <f t="shared" si="41"/>
        <v>459.9</v>
      </c>
      <c r="AG275" s="2">
        <f t="shared" si="42"/>
        <v>307.89999999999998</v>
      </c>
      <c r="AH275" s="2">
        <f t="shared" si="43"/>
        <v>146.4</v>
      </c>
      <c r="AI275" s="2">
        <f t="shared" si="44"/>
        <v>1111.6000000000001</v>
      </c>
      <c r="AJ275" s="2">
        <f t="shared" si="45"/>
        <v>152.87692307692308</v>
      </c>
      <c r="AK275" s="2">
        <f t="shared" si="46"/>
        <v>153.29999999999998</v>
      </c>
      <c r="AL275" s="2">
        <f t="shared" si="47"/>
        <v>153.94999999999999</v>
      </c>
      <c r="AM275" s="2">
        <f t="shared" si="48"/>
        <v>146.4</v>
      </c>
      <c r="AN275" s="2">
        <f t="shared" si="49"/>
        <v>158.80000000000001</v>
      </c>
    </row>
    <row r="276" spans="1:40" x14ac:dyDescent="0.3">
      <c r="A276" t="s">
        <v>32</v>
      </c>
      <c r="B276">
        <v>2020</v>
      </c>
      <c r="C276" t="s">
        <v>41</v>
      </c>
      <c r="D276" s="2">
        <v>151.5</v>
      </c>
      <c r="E276" s="2">
        <v>193.1</v>
      </c>
      <c r="F276" s="2">
        <v>157.30000000000001</v>
      </c>
      <c r="G276" s="2">
        <v>153.9</v>
      </c>
      <c r="H276" s="2">
        <v>134.4</v>
      </c>
      <c r="I276" s="2">
        <v>155.4</v>
      </c>
      <c r="J276" s="2">
        <v>202</v>
      </c>
      <c r="K276" s="2">
        <v>150.80000000000001</v>
      </c>
      <c r="L276" s="2">
        <v>118.9</v>
      </c>
      <c r="M276" s="2">
        <v>160.9</v>
      </c>
      <c r="N276" s="2">
        <v>137.69999999999999</v>
      </c>
      <c r="O276" s="2">
        <v>164.4</v>
      </c>
      <c r="P276" s="2">
        <v>161.30000000000001</v>
      </c>
      <c r="Q276" s="2">
        <v>188.7</v>
      </c>
      <c r="R276" s="2">
        <v>150.19999999999999</v>
      </c>
      <c r="S276" s="2">
        <v>136.30000000000001</v>
      </c>
      <c r="T276" s="2">
        <v>148.1</v>
      </c>
      <c r="U276" s="2">
        <v>156.30000000000001</v>
      </c>
      <c r="V276" s="2">
        <v>137.19999999999999</v>
      </c>
      <c r="W276" s="2">
        <v>145.4</v>
      </c>
      <c r="X276" s="2">
        <v>150</v>
      </c>
      <c r="Y276" s="2">
        <v>135.1</v>
      </c>
      <c r="Z276" s="2">
        <v>141.80000000000001</v>
      </c>
      <c r="AA276" s="2">
        <v>154.9</v>
      </c>
      <c r="AB276" s="2">
        <v>159.80000000000001</v>
      </c>
      <c r="AC276" s="2">
        <v>146</v>
      </c>
      <c r="AD276" s="2">
        <v>154</v>
      </c>
      <c r="AE276" s="2">
        <f t="shared" si="40"/>
        <v>2041.6000000000001</v>
      </c>
      <c r="AF276" s="2">
        <f t="shared" si="41"/>
        <v>434.6</v>
      </c>
      <c r="AG276" s="2">
        <f t="shared" si="42"/>
        <v>301.70000000000005</v>
      </c>
      <c r="AH276" s="2">
        <f t="shared" si="43"/>
        <v>137.19999999999999</v>
      </c>
      <c r="AI276" s="2">
        <f t="shared" si="44"/>
        <v>1076.3000000000002</v>
      </c>
      <c r="AJ276" s="2">
        <f t="shared" si="45"/>
        <v>157.04615384615386</v>
      </c>
      <c r="AK276" s="2">
        <f t="shared" si="46"/>
        <v>144.86666666666667</v>
      </c>
      <c r="AL276" s="2">
        <f t="shared" si="47"/>
        <v>150.85000000000002</v>
      </c>
      <c r="AM276" s="2">
        <f t="shared" si="48"/>
        <v>137.19999999999999</v>
      </c>
      <c r="AN276" s="2">
        <f t="shared" si="49"/>
        <v>153.7571428571429</v>
      </c>
    </row>
    <row r="277" spans="1:40" x14ac:dyDescent="0.3">
      <c r="A277" t="s">
        <v>33</v>
      </c>
      <c r="B277">
        <v>2020</v>
      </c>
      <c r="C277" t="s">
        <v>41</v>
      </c>
      <c r="D277" s="2">
        <v>148.4</v>
      </c>
      <c r="E277" s="2">
        <v>187.1</v>
      </c>
      <c r="F277" s="2">
        <v>152.5</v>
      </c>
      <c r="G277" s="2">
        <v>153.6</v>
      </c>
      <c r="H277" s="2">
        <v>138.19999999999999</v>
      </c>
      <c r="I277" s="2">
        <v>150.9</v>
      </c>
      <c r="J277" s="2">
        <v>186.7</v>
      </c>
      <c r="K277" s="2">
        <v>149.80000000000001</v>
      </c>
      <c r="L277" s="2">
        <v>116.4</v>
      </c>
      <c r="M277" s="2">
        <v>160.30000000000001</v>
      </c>
      <c r="N277" s="2">
        <v>142.19999999999999</v>
      </c>
      <c r="O277" s="2">
        <v>162.9</v>
      </c>
      <c r="P277" s="2">
        <v>158</v>
      </c>
      <c r="Q277" s="2">
        <v>184.4</v>
      </c>
      <c r="R277" s="2">
        <v>153.4</v>
      </c>
      <c r="S277" s="2">
        <v>144.30000000000001</v>
      </c>
      <c r="T277" s="2">
        <v>152</v>
      </c>
      <c r="U277" s="2">
        <v>156.30000000000001</v>
      </c>
      <c r="V277" s="2">
        <v>142.9</v>
      </c>
      <c r="W277" s="2">
        <v>148.69999999999999</v>
      </c>
      <c r="X277" s="2">
        <v>155.6</v>
      </c>
      <c r="Y277" s="2">
        <v>139.6</v>
      </c>
      <c r="Z277" s="2">
        <v>146.6</v>
      </c>
      <c r="AA277" s="2">
        <v>157.5</v>
      </c>
      <c r="AB277" s="2">
        <v>158.4</v>
      </c>
      <c r="AC277" s="2">
        <v>150</v>
      </c>
      <c r="AD277" s="2">
        <v>154.69999999999999</v>
      </c>
      <c r="AE277" s="2">
        <f t="shared" si="40"/>
        <v>2007</v>
      </c>
      <c r="AF277" s="2">
        <f t="shared" si="41"/>
        <v>449.70000000000005</v>
      </c>
      <c r="AG277" s="2">
        <f t="shared" si="42"/>
        <v>305</v>
      </c>
      <c r="AH277" s="2">
        <f t="shared" si="43"/>
        <v>142.9</v>
      </c>
      <c r="AI277" s="2">
        <f t="shared" si="44"/>
        <v>1092.0999999999999</v>
      </c>
      <c r="AJ277" s="2">
        <f t="shared" si="45"/>
        <v>154.38461538461539</v>
      </c>
      <c r="AK277" s="2">
        <f t="shared" si="46"/>
        <v>149.9</v>
      </c>
      <c r="AL277" s="2">
        <f t="shared" si="47"/>
        <v>152.5</v>
      </c>
      <c r="AM277" s="2">
        <f t="shared" si="48"/>
        <v>142.9</v>
      </c>
      <c r="AN277" s="2">
        <f t="shared" si="49"/>
        <v>156.01428571428571</v>
      </c>
    </row>
    <row r="278" spans="1:40" x14ac:dyDescent="0.3">
      <c r="A278" t="s">
        <v>30</v>
      </c>
      <c r="B278">
        <v>2020</v>
      </c>
      <c r="C278" t="s">
        <v>42</v>
      </c>
      <c r="D278" s="2">
        <v>146</v>
      </c>
      <c r="E278" s="2">
        <v>186.3</v>
      </c>
      <c r="F278" s="2">
        <v>159.19999999999999</v>
      </c>
      <c r="G278" s="2">
        <v>153.6</v>
      </c>
      <c r="H278" s="2">
        <v>142.6</v>
      </c>
      <c r="I278" s="2">
        <v>147.19999999999999</v>
      </c>
      <c r="J278" s="2">
        <v>200.6</v>
      </c>
      <c r="K278" s="2">
        <v>150.30000000000001</v>
      </c>
      <c r="L278" s="2">
        <v>115.3</v>
      </c>
      <c r="M278" s="2">
        <v>160.9</v>
      </c>
      <c r="N278" s="2">
        <v>147.4</v>
      </c>
      <c r="O278" s="2">
        <v>161.9</v>
      </c>
      <c r="P278" s="2">
        <v>159.6</v>
      </c>
      <c r="Q278" s="2">
        <v>182.7</v>
      </c>
      <c r="R278" s="2">
        <v>155.69999999999999</v>
      </c>
      <c r="S278" s="2">
        <v>150.6</v>
      </c>
      <c r="T278" s="2">
        <v>155</v>
      </c>
      <c r="U278" s="2">
        <f>AVERAGE(U279,U280)</f>
        <v>156.5</v>
      </c>
      <c r="V278" s="2">
        <v>146.80000000000001</v>
      </c>
      <c r="W278" s="2">
        <v>152</v>
      </c>
      <c r="X278" s="2">
        <v>159.5</v>
      </c>
      <c r="Y278" s="2">
        <v>146.4</v>
      </c>
      <c r="Z278" s="2">
        <v>152.4</v>
      </c>
      <c r="AA278" s="2">
        <v>162.5</v>
      </c>
      <c r="AB278" s="2">
        <v>156.19999999999999</v>
      </c>
      <c r="AC278" s="2">
        <v>154.30000000000001</v>
      </c>
      <c r="AD278" s="2">
        <v>157.5</v>
      </c>
      <c r="AE278" s="2">
        <f t="shared" si="40"/>
        <v>2030.9</v>
      </c>
      <c r="AF278" s="2">
        <f t="shared" si="41"/>
        <v>461.29999999999995</v>
      </c>
      <c r="AG278" s="2">
        <f t="shared" si="42"/>
        <v>308.5</v>
      </c>
      <c r="AH278" s="2">
        <f t="shared" si="43"/>
        <v>146.80000000000001</v>
      </c>
      <c r="AI278" s="2">
        <f t="shared" si="44"/>
        <v>1114</v>
      </c>
      <c r="AJ278" s="2">
        <f t="shared" si="45"/>
        <v>156.22307692307692</v>
      </c>
      <c r="AK278" s="2">
        <f t="shared" si="46"/>
        <v>153.76666666666665</v>
      </c>
      <c r="AL278" s="2">
        <f t="shared" si="47"/>
        <v>154.25</v>
      </c>
      <c r="AM278" s="2">
        <f t="shared" si="48"/>
        <v>146.80000000000001</v>
      </c>
      <c r="AN278" s="2">
        <f t="shared" si="49"/>
        <v>159.14285714285714</v>
      </c>
    </row>
    <row r="279" spans="1:40" x14ac:dyDescent="0.3">
      <c r="A279" t="s">
        <v>32</v>
      </c>
      <c r="B279">
        <v>2020</v>
      </c>
      <c r="C279" t="s">
        <v>42</v>
      </c>
      <c r="D279" s="2">
        <v>150.6</v>
      </c>
      <c r="E279" s="2">
        <v>193.7</v>
      </c>
      <c r="F279" s="2">
        <v>164.8</v>
      </c>
      <c r="G279" s="2">
        <v>153.69999999999999</v>
      </c>
      <c r="H279" s="2">
        <v>135.69999999999999</v>
      </c>
      <c r="I279" s="2">
        <v>155.69999999999999</v>
      </c>
      <c r="J279" s="2">
        <v>226</v>
      </c>
      <c r="K279" s="2">
        <v>152.19999999999999</v>
      </c>
      <c r="L279" s="2">
        <v>118.1</v>
      </c>
      <c r="M279" s="2">
        <v>161.30000000000001</v>
      </c>
      <c r="N279" s="2">
        <v>139.19999999999999</v>
      </c>
      <c r="O279" s="2">
        <v>164.8</v>
      </c>
      <c r="P279" s="2">
        <v>164.4</v>
      </c>
      <c r="Q279" s="2">
        <v>188.7</v>
      </c>
      <c r="R279" s="2">
        <v>150.5</v>
      </c>
      <c r="S279" s="2">
        <v>136.1</v>
      </c>
      <c r="T279" s="2">
        <v>148.30000000000001</v>
      </c>
      <c r="U279" s="2">
        <v>156.5</v>
      </c>
      <c r="V279" s="2">
        <v>137.1</v>
      </c>
      <c r="W279" s="2">
        <v>145.1</v>
      </c>
      <c r="X279" s="2">
        <v>151</v>
      </c>
      <c r="Y279" s="2">
        <v>135.4</v>
      </c>
      <c r="Z279" s="2">
        <v>142</v>
      </c>
      <c r="AA279" s="2">
        <v>155.69999999999999</v>
      </c>
      <c r="AB279" s="2">
        <v>158.1</v>
      </c>
      <c r="AC279" s="2">
        <v>146.19999999999999</v>
      </c>
      <c r="AD279" s="2">
        <v>155.19999999999999</v>
      </c>
      <c r="AE279" s="2">
        <f t="shared" si="40"/>
        <v>2080.1999999999998</v>
      </c>
      <c r="AF279" s="2">
        <f t="shared" si="41"/>
        <v>434.90000000000003</v>
      </c>
      <c r="AG279" s="2">
        <f t="shared" si="42"/>
        <v>301.60000000000002</v>
      </c>
      <c r="AH279" s="2">
        <f t="shared" si="43"/>
        <v>137.1</v>
      </c>
      <c r="AI279" s="2">
        <f t="shared" si="44"/>
        <v>1077.0999999999999</v>
      </c>
      <c r="AJ279" s="2">
        <f t="shared" si="45"/>
        <v>160.01538461538459</v>
      </c>
      <c r="AK279" s="2">
        <f t="shared" si="46"/>
        <v>144.96666666666667</v>
      </c>
      <c r="AL279" s="2">
        <f t="shared" si="47"/>
        <v>150.80000000000001</v>
      </c>
      <c r="AM279" s="2">
        <f t="shared" si="48"/>
        <v>137.1</v>
      </c>
      <c r="AN279" s="2">
        <f t="shared" si="49"/>
        <v>153.87142857142857</v>
      </c>
    </row>
    <row r="280" spans="1:40" x14ac:dyDescent="0.3">
      <c r="A280" t="s">
        <v>33</v>
      </c>
      <c r="B280">
        <v>2020</v>
      </c>
      <c r="C280" t="s">
        <v>42</v>
      </c>
      <c r="D280" s="2">
        <v>147.5</v>
      </c>
      <c r="E280" s="2">
        <v>188.9</v>
      </c>
      <c r="F280" s="2">
        <v>161.4</v>
      </c>
      <c r="G280" s="2">
        <v>153.6</v>
      </c>
      <c r="H280" s="2">
        <v>140.1</v>
      </c>
      <c r="I280" s="2">
        <v>151.19999999999999</v>
      </c>
      <c r="J280" s="2">
        <v>209.2</v>
      </c>
      <c r="K280" s="2">
        <v>150.9</v>
      </c>
      <c r="L280" s="2">
        <v>116.2</v>
      </c>
      <c r="M280" s="2">
        <v>161</v>
      </c>
      <c r="N280" s="2">
        <v>144</v>
      </c>
      <c r="O280" s="2">
        <v>163.19999999999999</v>
      </c>
      <c r="P280" s="2">
        <v>161.4</v>
      </c>
      <c r="Q280" s="2">
        <v>184.3</v>
      </c>
      <c r="R280" s="2">
        <v>153.69999999999999</v>
      </c>
      <c r="S280" s="2">
        <v>144.6</v>
      </c>
      <c r="T280" s="2">
        <v>152.30000000000001</v>
      </c>
      <c r="U280" s="2">
        <v>156.5</v>
      </c>
      <c r="V280" s="2">
        <v>143.1</v>
      </c>
      <c r="W280" s="2">
        <v>148.69999999999999</v>
      </c>
      <c r="X280" s="2">
        <v>156.30000000000001</v>
      </c>
      <c r="Y280" s="2">
        <v>140.6</v>
      </c>
      <c r="Z280" s="2">
        <v>146.5</v>
      </c>
      <c r="AA280" s="2">
        <v>158.5</v>
      </c>
      <c r="AB280" s="2">
        <v>157</v>
      </c>
      <c r="AC280" s="2">
        <v>150.4</v>
      </c>
      <c r="AD280" s="2">
        <v>156.4</v>
      </c>
      <c r="AE280" s="2">
        <f t="shared" si="40"/>
        <v>2048.6000000000004</v>
      </c>
      <c r="AF280" s="2">
        <f t="shared" si="41"/>
        <v>450.59999999999997</v>
      </c>
      <c r="AG280" s="2">
        <f t="shared" si="42"/>
        <v>305.2</v>
      </c>
      <c r="AH280" s="2">
        <f t="shared" si="43"/>
        <v>143.1</v>
      </c>
      <c r="AI280" s="2">
        <f t="shared" si="44"/>
        <v>1093.5999999999999</v>
      </c>
      <c r="AJ280" s="2">
        <f t="shared" si="45"/>
        <v>157.5846153846154</v>
      </c>
      <c r="AK280" s="2">
        <f t="shared" si="46"/>
        <v>150.19999999999999</v>
      </c>
      <c r="AL280" s="2">
        <f t="shared" si="47"/>
        <v>152.6</v>
      </c>
      <c r="AM280" s="2">
        <f t="shared" si="48"/>
        <v>143.1</v>
      </c>
      <c r="AN280" s="2">
        <f t="shared" si="49"/>
        <v>156.22857142857143</v>
      </c>
    </row>
    <row r="281" spans="1:40" x14ac:dyDescent="0.3">
      <c r="A281" t="s">
        <v>30</v>
      </c>
      <c r="B281">
        <v>2020</v>
      </c>
      <c r="C281" t="s">
        <v>44</v>
      </c>
      <c r="D281" s="2">
        <v>145.4</v>
      </c>
      <c r="E281" s="2">
        <v>188.6</v>
      </c>
      <c r="F281" s="2">
        <v>171.6</v>
      </c>
      <c r="G281" s="2">
        <v>153.80000000000001</v>
      </c>
      <c r="H281" s="2">
        <v>145.4</v>
      </c>
      <c r="I281" s="2">
        <v>146.5</v>
      </c>
      <c r="J281" s="2">
        <v>222.2</v>
      </c>
      <c r="K281" s="2">
        <v>155.9</v>
      </c>
      <c r="L281" s="2">
        <v>114.9</v>
      </c>
      <c r="M281" s="2">
        <v>162</v>
      </c>
      <c r="N281" s="2">
        <v>150</v>
      </c>
      <c r="O281" s="2">
        <v>162.69999999999999</v>
      </c>
      <c r="P281" s="2">
        <v>163.4</v>
      </c>
      <c r="Q281" s="2">
        <v>183.4</v>
      </c>
      <c r="R281" s="2">
        <v>156.30000000000001</v>
      </c>
      <c r="S281" s="2">
        <v>151</v>
      </c>
      <c r="T281" s="2">
        <v>155.5</v>
      </c>
      <c r="U281" s="2">
        <f>AVERAGE(U282,U283)</f>
        <v>158</v>
      </c>
      <c r="V281" s="2">
        <v>147.5</v>
      </c>
      <c r="W281" s="2">
        <v>152.80000000000001</v>
      </c>
      <c r="X281" s="2">
        <v>160.4</v>
      </c>
      <c r="Y281" s="2">
        <v>146.1</v>
      </c>
      <c r="Z281" s="2">
        <v>153.6</v>
      </c>
      <c r="AA281" s="2">
        <v>161.6</v>
      </c>
      <c r="AB281" s="2">
        <v>156.19999999999999</v>
      </c>
      <c r="AC281" s="2">
        <v>154.5</v>
      </c>
      <c r="AD281" s="2">
        <v>159.80000000000001</v>
      </c>
      <c r="AE281" s="2">
        <f t="shared" si="40"/>
        <v>2082.4</v>
      </c>
      <c r="AF281" s="2">
        <f t="shared" si="41"/>
        <v>462.8</v>
      </c>
      <c r="AG281" s="2">
        <f t="shared" si="42"/>
        <v>310.8</v>
      </c>
      <c r="AH281" s="2">
        <f t="shared" si="43"/>
        <v>147.5</v>
      </c>
      <c r="AI281" s="2">
        <f t="shared" si="44"/>
        <v>1115.8000000000002</v>
      </c>
      <c r="AJ281" s="2">
        <f t="shared" si="45"/>
        <v>160.1846153846154</v>
      </c>
      <c r="AK281" s="2">
        <f t="shared" si="46"/>
        <v>154.26666666666668</v>
      </c>
      <c r="AL281" s="2">
        <f t="shared" si="47"/>
        <v>155.4</v>
      </c>
      <c r="AM281" s="2">
        <f t="shared" si="48"/>
        <v>147.5</v>
      </c>
      <c r="AN281" s="2">
        <f t="shared" si="49"/>
        <v>159.40000000000003</v>
      </c>
    </row>
    <row r="282" spans="1:40" x14ac:dyDescent="0.3">
      <c r="A282" t="s">
        <v>32</v>
      </c>
      <c r="B282">
        <v>2020</v>
      </c>
      <c r="C282" t="s">
        <v>44</v>
      </c>
      <c r="D282" s="2">
        <v>149.69999999999999</v>
      </c>
      <c r="E282" s="2">
        <v>195.5</v>
      </c>
      <c r="F282" s="2">
        <v>176.9</v>
      </c>
      <c r="G282" s="2">
        <v>153.9</v>
      </c>
      <c r="H282" s="2">
        <v>138</v>
      </c>
      <c r="I282" s="2">
        <v>150.5</v>
      </c>
      <c r="J282" s="2">
        <v>245.3</v>
      </c>
      <c r="K282" s="2">
        <v>158.69999999999999</v>
      </c>
      <c r="L282" s="2">
        <v>117.2</v>
      </c>
      <c r="M282" s="2">
        <v>161.4</v>
      </c>
      <c r="N282" s="2">
        <v>141.5</v>
      </c>
      <c r="O282" s="2">
        <v>165.1</v>
      </c>
      <c r="P282" s="2">
        <v>167</v>
      </c>
      <c r="Q282" s="2">
        <v>188.8</v>
      </c>
      <c r="R282" s="2">
        <v>151.1</v>
      </c>
      <c r="S282" s="2">
        <v>136.4</v>
      </c>
      <c r="T282" s="2">
        <v>148.80000000000001</v>
      </c>
      <c r="U282" s="2">
        <v>158</v>
      </c>
      <c r="V282" s="2">
        <v>137.30000000000001</v>
      </c>
      <c r="W282" s="2">
        <v>145.1</v>
      </c>
      <c r="X282" s="2">
        <v>152</v>
      </c>
      <c r="Y282" s="2">
        <v>135.19999999999999</v>
      </c>
      <c r="Z282" s="2">
        <v>144.4</v>
      </c>
      <c r="AA282" s="2">
        <v>156.4</v>
      </c>
      <c r="AB282" s="2">
        <v>157.9</v>
      </c>
      <c r="AC282" s="2">
        <v>146.6</v>
      </c>
      <c r="AD282" s="2">
        <v>156.69999999999999</v>
      </c>
      <c r="AE282" s="2">
        <f t="shared" si="40"/>
        <v>2120.6999999999998</v>
      </c>
      <c r="AF282" s="2">
        <f t="shared" si="41"/>
        <v>436.3</v>
      </c>
      <c r="AG282" s="2">
        <f t="shared" si="42"/>
        <v>303.10000000000002</v>
      </c>
      <c r="AH282" s="2">
        <f t="shared" si="43"/>
        <v>137.30000000000001</v>
      </c>
      <c r="AI282" s="2">
        <f t="shared" si="44"/>
        <v>1081.3</v>
      </c>
      <c r="AJ282" s="2">
        <f t="shared" si="45"/>
        <v>163.1307692307692</v>
      </c>
      <c r="AK282" s="2">
        <f t="shared" si="46"/>
        <v>145.43333333333334</v>
      </c>
      <c r="AL282" s="2">
        <f t="shared" si="47"/>
        <v>151.55000000000001</v>
      </c>
      <c r="AM282" s="2">
        <f t="shared" si="48"/>
        <v>137.30000000000001</v>
      </c>
      <c r="AN282" s="2">
        <f t="shared" si="49"/>
        <v>154.47142857142856</v>
      </c>
    </row>
    <row r="283" spans="1:40" x14ac:dyDescent="0.3">
      <c r="A283" t="s">
        <v>33</v>
      </c>
      <c r="B283">
        <v>2020</v>
      </c>
      <c r="C283" t="s">
        <v>44</v>
      </c>
      <c r="D283" s="2">
        <v>146.80000000000001</v>
      </c>
      <c r="E283" s="2">
        <v>191</v>
      </c>
      <c r="F283" s="2">
        <v>173.6</v>
      </c>
      <c r="G283" s="2">
        <v>153.80000000000001</v>
      </c>
      <c r="H283" s="2">
        <v>142.69999999999999</v>
      </c>
      <c r="I283" s="2">
        <v>148.4</v>
      </c>
      <c r="J283" s="2">
        <v>230</v>
      </c>
      <c r="K283" s="2">
        <v>156.80000000000001</v>
      </c>
      <c r="L283" s="2">
        <v>115.7</v>
      </c>
      <c r="M283" s="2">
        <v>161.80000000000001</v>
      </c>
      <c r="N283" s="2">
        <v>146.5</v>
      </c>
      <c r="O283" s="2">
        <v>163.80000000000001</v>
      </c>
      <c r="P283" s="2">
        <v>164.7</v>
      </c>
      <c r="Q283" s="2">
        <v>184.8</v>
      </c>
      <c r="R283" s="2">
        <v>154.30000000000001</v>
      </c>
      <c r="S283" s="2">
        <v>144.9</v>
      </c>
      <c r="T283" s="2">
        <v>152.80000000000001</v>
      </c>
      <c r="U283" s="2">
        <v>158</v>
      </c>
      <c r="V283" s="2">
        <v>143.6</v>
      </c>
      <c r="W283" s="2">
        <v>149.19999999999999</v>
      </c>
      <c r="X283" s="2">
        <v>157.19999999999999</v>
      </c>
      <c r="Y283" s="2">
        <v>140.4</v>
      </c>
      <c r="Z283" s="2">
        <v>148.4</v>
      </c>
      <c r="AA283" s="2">
        <v>158.6</v>
      </c>
      <c r="AB283" s="2">
        <v>156.9</v>
      </c>
      <c r="AC283" s="2">
        <v>150.69999999999999</v>
      </c>
      <c r="AD283" s="2">
        <v>158.4</v>
      </c>
      <c r="AE283" s="2">
        <f t="shared" si="40"/>
        <v>2095.6</v>
      </c>
      <c r="AF283" s="2">
        <f t="shared" si="41"/>
        <v>452.00000000000006</v>
      </c>
      <c r="AG283" s="2">
        <f t="shared" si="42"/>
        <v>307.2</v>
      </c>
      <c r="AH283" s="2">
        <f t="shared" si="43"/>
        <v>143.6</v>
      </c>
      <c r="AI283" s="2">
        <f t="shared" si="44"/>
        <v>1097</v>
      </c>
      <c r="AJ283" s="2">
        <f t="shared" si="45"/>
        <v>161.19999999999999</v>
      </c>
      <c r="AK283" s="2">
        <f t="shared" si="46"/>
        <v>150.66666666666669</v>
      </c>
      <c r="AL283" s="2">
        <f t="shared" si="47"/>
        <v>153.6</v>
      </c>
      <c r="AM283" s="2">
        <f t="shared" si="48"/>
        <v>143.6</v>
      </c>
      <c r="AN283" s="2">
        <f t="shared" si="49"/>
        <v>156.71428571428572</v>
      </c>
    </row>
    <row r="284" spans="1:40" x14ac:dyDescent="0.3">
      <c r="A284" t="s">
        <v>30</v>
      </c>
      <c r="B284">
        <v>2020</v>
      </c>
      <c r="C284" t="s">
        <v>45</v>
      </c>
      <c r="D284" s="2">
        <v>144.6</v>
      </c>
      <c r="E284" s="2">
        <v>188.5</v>
      </c>
      <c r="F284" s="2">
        <v>173.4</v>
      </c>
      <c r="G284" s="2">
        <v>154</v>
      </c>
      <c r="H284" s="2">
        <v>150</v>
      </c>
      <c r="I284" s="2">
        <v>145.9</v>
      </c>
      <c r="J284" s="2">
        <v>225.2</v>
      </c>
      <c r="K284" s="2">
        <v>159.5</v>
      </c>
      <c r="L284" s="2">
        <v>114.4</v>
      </c>
      <c r="M284" s="2">
        <v>163.5</v>
      </c>
      <c r="N284" s="2">
        <v>153.4</v>
      </c>
      <c r="O284" s="2">
        <v>163.6</v>
      </c>
      <c r="P284" s="2">
        <v>164.5</v>
      </c>
      <c r="Q284" s="2">
        <v>183.6</v>
      </c>
      <c r="R284" s="2">
        <v>157</v>
      </c>
      <c r="S284" s="2">
        <v>151.6</v>
      </c>
      <c r="T284" s="2">
        <v>156.30000000000001</v>
      </c>
      <c r="U284" s="2">
        <f>AVERAGE(U285,U286)</f>
        <v>158.4</v>
      </c>
      <c r="V284" s="2">
        <v>148.69999999999999</v>
      </c>
      <c r="W284" s="2">
        <v>153.4</v>
      </c>
      <c r="X284" s="2">
        <v>161.6</v>
      </c>
      <c r="Y284" s="2">
        <v>146.4</v>
      </c>
      <c r="Z284" s="2">
        <v>153.9</v>
      </c>
      <c r="AA284" s="2">
        <v>162.9</v>
      </c>
      <c r="AB284" s="2">
        <v>156.6</v>
      </c>
      <c r="AC284" s="2">
        <v>155.19999999999999</v>
      </c>
      <c r="AD284" s="2">
        <v>160.69999999999999</v>
      </c>
      <c r="AE284" s="2">
        <f t="shared" si="40"/>
        <v>2100.5</v>
      </c>
      <c r="AF284" s="2">
        <f t="shared" si="41"/>
        <v>464.90000000000003</v>
      </c>
      <c r="AG284" s="2">
        <f t="shared" si="42"/>
        <v>311.8</v>
      </c>
      <c r="AH284" s="2">
        <f t="shared" si="43"/>
        <v>148.69999999999999</v>
      </c>
      <c r="AI284" s="2">
        <f t="shared" si="44"/>
        <v>1120.1999999999998</v>
      </c>
      <c r="AJ284" s="2">
        <f t="shared" si="45"/>
        <v>161.57692307692307</v>
      </c>
      <c r="AK284" s="2">
        <f t="shared" si="46"/>
        <v>154.96666666666667</v>
      </c>
      <c r="AL284" s="2">
        <f t="shared" si="47"/>
        <v>155.9</v>
      </c>
      <c r="AM284" s="2">
        <f t="shared" si="48"/>
        <v>148.69999999999999</v>
      </c>
      <c r="AN284" s="2">
        <f t="shared" si="49"/>
        <v>160.02857142857141</v>
      </c>
    </row>
    <row r="285" spans="1:40" x14ac:dyDescent="0.3">
      <c r="A285" t="s">
        <v>32</v>
      </c>
      <c r="B285">
        <v>2020</v>
      </c>
      <c r="C285" t="s">
        <v>45</v>
      </c>
      <c r="D285" s="2">
        <v>149</v>
      </c>
      <c r="E285" s="2">
        <v>195.7</v>
      </c>
      <c r="F285" s="2">
        <v>178.3</v>
      </c>
      <c r="G285" s="2">
        <v>154.19999999999999</v>
      </c>
      <c r="H285" s="2">
        <v>140.69999999999999</v>
      </c>
      <c r="I285" s="2">
        <v>149.69999999999999</v>
      </c>
      <c r="J285" s="2">
        <v>240.9</v>
      </c>
      <c r="K285" s="2">
        <v>161.5</v>
      </c>
      <c r="L285" s="2">
        <v>117.1</v>
      </c>
      <c r="M285" s="2">
        <v>161.9</v>
      </c>
      <c r="N285" s="2">
        <v>143.30000000000001</v>
      </c>
      <c r="O285" s="2">
        <v>166.1</v>
      </c>
      <c r="P285" s="2">
        <v>167</v>
      </c>
      <c r="Q285" s="2">
        <v>190.2</v>
      </c>
      <c r="R285" s="2">
        <v>151.9</v>
      </c>
      <c r="S285" s="2">
        <v>136.69999999999999</v>
      </c>
      <c r="T285" s="2">
        <v>149.6</v>
      </c>
      <c r="U285" s="2">
        <v>158.4</v>
      </c>
      <c r="V285" s="2">
        <v>137.9</v>
      </c>
      <c r="W285" s="2">
        <v>145.5</v>
      </c>
      <c r="X285" s="2">
        <v>152.9</v>
      </c>
      <c r="Y285" s="2">
        <v>135.5</v>
      </c>
      <c r="Z285" s="2">
        <v>144.30000000000001</v>
      </c>
      <c r="AA285" s="2">
        <v>156.9</v>
      </c>
      <c r="AB285" s="2">
        <v>157.9</v>
      </c>
      <c r="AC285" s="2">
        <v>146.9</v>
      </c>
      <c r="AD285" s="2">
        <v>156.9</v>
      </c>
      <c r="AE285" s="2">
        <f t="shared" si="40"/>
        <v>2125.4</v>
      </c>
      <c r="AF285" s="2">
        <f t="shared" si="41"/>
        <v>438.20000000000005</v>
      </c>
      <c r="AG285" s="2">
        <f t="shared" si="42"/>
        <v>303.89999999999998</v>
      </c>
      <c r="AH285" s="2">
        <f t="shared" si="43"/>
        <v>137.9</v>
      </c>
      <c r="AI285" s="2">
        <f t="shared" si="44"/>
        <v>1084.5999999999999</v>
      </c>
      <c r="AJ285" s="2">
        <f t="shared" si="45"/>
        <v>163.49230769230769</v>
      </c>
      <c r="AK285" s="2">
        <f t="shared" si="46"/>
        <v>146.06666666666669</v>
      </c>
      <c r="AL285" s="2">
        <f t="shared" si="47"/>
        <v>151.94999999999999</v>
      </c>
      <c r="AM285" s="2">
        <f t="shared" si="48"/>
        <v>137.9</v>
      </c>
      <c r="AN285" s="2">
        <f t="shared" si="49"/>
        <v>154.94285714285712</v>
      </c>
    </row>
    <row r="286" spans="1:40" x14ac:dyDescent="0.3">
      <c r="A286" t="s">
        <v>33</v>
      </c>
      <c r="B286">
        <v>2020</v>
      </c>
      <c r="C286" t="s">
        <v>45</v>
      </c>
      <c r="D286" s="2">
        <v>146</v>
      </c>
      <c r="E286" s="2">
        <v>191</v>
      </c>
      <c r="F286" s="2">
        <v>175.3</v>
      </c>
      <c r="G286" s="2">
        <v>154.1</v>
      </c>
      <c r="H286" s="2">
        <v>146.6</v>
      </c>
      <c r="I286" s="2">
        <v>147.69999999999999</v>
      </c>
      <c r="J286" s="2">
        <v>230.5</v>
      </c>
      <c r="K286" s="2">
        <v>160.19999999999999</v>
      </c>
      <c r="L286" s="2">
        <v>115.3</v>
      </c>
      <c r="M286" s="2">
        <v>163</v>
      </c>
      <c r="N286" s="2">
        <v>149.19999999999999</v>
      </c>
      <c r="O286" s="2">
        <v>164.8</v>
      </c>
      <c r="P286" s="2">
        <v>165.4</v>
      </c>
      <c r="Q286" s="2">
        <v>185.4</v>
      </c>
      <c r="R286" s="2">
        <v>155</v>
      </c>
      <c r="S286" s="2">
        <v>145.4</v>
      </c>
      <c r="T286" s="2">
        <v>153.6</v>
      </c>
      <c r="U286" s="2">
        <v>158.4</v>
      </c>
      <c r="V286" s="2">
        <v>144.6</v>
      </c>
      <c r="W286" s="2">
        <v>149.69999999999999</v>
      </c>
      <c r="X286" s="2">
        <v>158.30000000000001</v>
      </c>
      <c r="Y286" s="2">
        <v>140.69999999999999</v>
      </c>
      <c r="Z286" s="2">
        <v>148.5</v>
      </c>
      <c r="AA286" s="2">
        <v>159.4</v>
      </c>
      <c r="AB286" s="2">
        <v>157.1</v>
      </c>
      <c r="AC286" s="2">
        <v>151.19999999999999</v>
      </c>
      <c r="AD286" s="2">
        <v>158.9</v>
      </c>
      <c r="AE286" s="2">
        <f t="shared" si="40"/>
        <v>2109.1</v>
      </c>
      <c r="AF286" s="2">
        <f t="shared" si="41"/>
        <v>454</v>
      </c>
      <c r="AG286" s="2">
        <f t="shared" si="42"/>
        <v>308.10000000000002</v>
      </c>
      <c r="AH286" s="2">
        <f t="shared" si="43"/>
        <v>144.6</v>
      </c>
      <c r="AI286" s="2">
        <f t="shared" si="44"/>
        <v>1100.6000000000001</v>
      </c>
      <c r="AJ286" s="2">
        <f t="shared" si="45"/>
        <v>162.23846153846154</v>
      </c>
      <c r="AK286" s="2">
        <f t="shared" si="46"/>
        <v>151.33333333333334</v>
      </c>
      <c r="AL286" s="2">
        <f t="shared" si="47"/>
        <v>154.05000000000001</v>
      </c>
      <c r="AM286" s="2">
        <f t="shared" si="48"/>
        <v>144.6</v>
      </c>
      <c r="AN286" s="2">
        <f t="shared" si="49"/>
        <v>157.22857142857146</v>
      </c>
    </row>
    <row r="287" spans="1:40" x14ac:dyDescent="0.3">
      <c r="A287" t="s">
        <v>30</v>
      </c>
      <c r="B287">
        <v>2021</v>
      </c>
      <c r="C287" t="s">
        <v>31</v>
      </c>
      <c r="D287" s="2">
        <v>143.4</v>
      </c>
      <c r="E287" s="2">
        <v>187.5</v>
      </c>
      <c r="F287" s="2">
        <v>173.4</v>
      </c>
      <c r="G287" s="2">
        <v>154</v>
      </c>
      <c r="H287" s="2">
        <v>154.80000000000001</v>
      </c>
      <c r="I287" s="2">
        <v>147</v>
      </c>
      <c r="J287" s="2">
        <v>187.8</v>
      </c>
      <c r="K287" s="2">
        <v>159.5</v>
      </c>
      <c r="L287" s="2">
        <v>113.8</v>
      </c>
      <c r="M287" s="2">
        <v>164.5</v>
      </c>
      <c r="N287" s="2">
        <v>156.1</v>
      </c>
      <c r="O287" s="2">
        <v>164.3</v>
      </c>
      <c r="P287" s="2">
        <v>159.6</v>
      </c>
      <c r="Q287" s="2">
        <v>184.6</v>
      </c>
      <c r="R287" s="2">
        <v>157.5</v>
      </c>
      <c r="S287" s="2">
        <v>152.4</v>
      </c>
      <c r="T287" s="2">
        <v>156.80000000000001</v>
      </c>
      <c r="U287" s="2">
        <f>AVERAGE(U288,U289)</f>
        <v>157.69999999999999</v>
      </c>
      <c r="V287" s="2">
        <v>150.9</v>
      </c>
      <c r="W287" s="2">
        <v>153.9</v>
      </c>
      <c r="X287" s="2">
        <v>162.5</v>
      </c>
      <c r="Y287" s="2">
        <v>147.5</v>
      </c>
      <c r="Z287" s="2">
        <v>155.1</v>
      </c>
      <c r="AA287" s="2">
        <v>163.5</v>
      </c>
      <c r="AB287" s="2">
        <v>156.19999999999999</v>
      </c>
      <c r="AC287" s="2">
        <v>155.9</v>
      </c>
      <c r="AD287" s="2">
        <v>158.5</v>
      </c>
      <c r="AE287" s="2">
        <f t="shared" si="40"/>
        <v>2065.6999999999998</v>
      </c>
      <c r="AF287" s="2">
        <f t="shared" si="41"/>
        <v>466.7</v>
      </c>
      <c r="AG287" s="2">
        <f t="shared" si="42"/>
        <v>311.60000000000002</v>
      </c>
      <c r="AH287" s="2">
        <f t="shared" si="43"/>
        <v>150.9</v>
      </c>
      <c r="AI287" s="2">
        <f t="shared" si="44"/>
        <v>1125.3</v>
      </c>
      <c r="AJ287" s="2">
        <f t="shared" si="45"/>
        <v>158.89999999999998</v>
      </c>
      <c r="AK287" s="2">
        <f t="shared" si="46"/>
        <v>155.56666666666666</v>
      </c>
      <c r="AL287" s="2">
        <f t="shared" si="47"/>
        <v>155.80000000000001</v>
      </c>
      <c r="AM287" s="2">
        <f t="shared" si="48"/>
        <v>150.9</v>
      </c>
      <c r="AN287" s="2">
        <f t="shared" si="49"/>
        <v>160.75714285714284</v>
      </c>
    </row>
    <row r="288" spans="1:40" x14ac:dyDescent="0.3">
      <c r="A288" t="s">
        <v>32</v>
      </c>
      <c r="B288">
        <v>2021</v>
      </c>
      <c r="C288" t="s">
        <v>31</v>
      </c>
      <c r="D288" s="2">
        <v>148</v>
      </c>
      <c r="E288" s="2">
        <v>194.8</v>
      </c>
      <c r="F288" s="2">
        <v>178.4</v>
      </c>
      <c r="G288" s="2">
        <v>154.4</v>
      </c>
      <c r="H288" s="2">
        <v>144.1</v>
      </c>
      <c r="I288" s="2">
        <v>152.6</v>
      </c>
      <c r="J288" s="2">
        <v>206.8</v>
      </c>
      <c r="K288" s="2">
        <v>162.1</v>
      </c>
      <c r="L288" s="2">
        <v>116.3</v>
      </c>
      <c r="M288" s="2">
        <v>163</v>
      </c>
      <c r="N288" s="2">
        <v>145.9</v>
      </c>
      <c r="O288" s="2">
        <v>167.2</v>
      </c>
      <c r="P288" s="2">
        <v>163.4</v>
      </c>
      <c r="Q288" s="2">
        <v>191.8</v>
      </c>
      <c r="R288" s="2">
        <v>152.5</v>
      </c>
      <c r="S288" s="2">
        <v>137.30000000000001</v>
      </c>
      <c r="T288" s="2">
        <v>150.19999999999999</v>
      </c>
      <c r="U288" s="2">
        <v>157.69999999999999</v>
      </c>
      <c r="V288" s="2">
        <v>142.9</v>
      </c>
      <c r="W288" s="2">
        <v>145.69999999999999</v>
      </c>
      <c r="X288" s="2">
        <v>154.1</v>
      </c>
      <c r="Y288" s="2">
        <v>136.9</v>
      </c>
      <c r="Z288" s="2">
        <v>145.4</v>
      </c>
      <c r="AA288" s="2">
        <v>156.1</v>
      </c>
      <c r="AB288" s="2">
        <v>157.69999999999999</v>
      </c>
      <c r="AC288" s="2">
        <v>147.6</v>
      </c>
      <c r="AD288" s="2">
        <v>156</v>
      </c>
      <c r="AE288" s="2">
        <f t="shared" si="40"/>
        <v>2097</v>
      </c>
      <c r="AF288" s="2">
        <f t="shared" si="41"/>
        <v>440</v>
      </c>
      <c r="AG288" s="2">
        <f t="shared" si="42"/>
        <v>303.39999999999998</v>
      </c>
      <c r="AH288" s="2">
        <f t="shared" si="43"/>
        <v>142.9</v>
      </c>
      <c r="AI288" s="2">
        <f t="shared" si="44"/>
        <v>1089.6000000000001</v>
      </c>
      <c r="AJ288" s="2">
        <f t="shared" si="45"/>
        <v>161.30769230769232</v>
      </c>
      <c r="AK288" s="2">
        <f t="shared" si="46"/>
        <v>146.66666666666666</v>
      </c>
      <c r="AL288" s="2">
        <f t="shared" si="47"/>
        <v>151.69999999999999</v>
      </c>
      <c r="AM288" s="2">
        <f t="shared" si="48"/>
        <v>142.9</v>
      </c>
      <c r="AN288" s="2">
        <f t="shared" si="49"/>
        <v>155.65714285714287</v>
      </c>
    </row>
    <row r="289" spans="1:40" x14ac:dyDescent="0.3">
      <c r="A289" t="s">
        <v>33</v>
      </c>
      <c r="B289">
        <v>2021</v>
      </c>
      <c r="C289" t="s">
        <v>31</v>
      </c>
      <c r="D289" s="2">
        <v>144.9</v>
      </c>
      <c r="E289" s="2">
        <v>190.1</v>
      </c>
      <c r="F289" s="2">
        <v>175.3</v>
      </c>
      <c r="G289" s="2">
        <v>154.1</v>
      </c>
      <c r="H289" s="2">
        <v>150.9</v>
      </c>
      <c r="I289" s="2">
        <v>149.6</v>
      </c>
      <c r="J289" s="2">
        <v>194.2</v>
      </c>
      <c r="K289" s="2">
        <v>160.4</v>
      </c>
      <c r="L289" s="2">
        <v>114.6</v>
      </c>
      <c r="M289" s="2">
        <v>164</v>
      </c>
      <c r="N289" s="2">
        <v>151.80000000000001</v>
      </c>
      <c r="O289" s="2">
        <v>165.6</v>
      </c>
      <c r="P289" s="2">
        <v>161</v>
      </c>
      <c r="Q289" s="2">
        <v>186.5</v>
      </c>
      <c r="R289" s="2">
        <v>155.5</v>
      </c>
      <c r="S289" s="2">
        <v>146.1</v>
      </c>
      <c r="T289" s="2">
        <v>154.19999999999999</v>
      </c>
      <c r="U289" s="2">
        <v>157.69999999999999</v>
      </c>
      <c r="V289" s="2">
        <v>147.9</v>
      </c>
      <c r="W289" s="2">
        <v>150</v>
      </c>
      <c r="X289" s="2">
        <v>159.30000000000001</v>
      </c>
      <c r="Y289" s="2">
        <v>141.9</v>
      </c>
      <c r="Z289" s="2">
        <v>149.6</v>
      </c>
      <c r="AA289" s="2">
        <v>159.19999999999999</v>
      </c>
      <c r="AB289" s="2">
        <v>156.80000000000001</v>
      </c>
      <c r="AC289" s="2">
        <v>151.9</v>
      </c>
      <c r="AD289" s="2">
        <v>157.30000000000001</v>
      </c>
      <c r="AE289" s="2">
        <f t="shared" si="40"/>
        <v>2076.5</v>
      </c>
      <c r="AF289" s="2">
        <f t="shared" si="41"/>
        <v>455.8</v>
      </c>
      <c r="AG289" s="2">
        <f t="shared" si="42"/>
        <v>307.7</v>
      </c>
      <c r="AH289" s="2">
        <f t="shared" si="43"/>
        <v>147.9</v>
      </c>
      <c r="AI289" s="2">
        <f t="shared" si="44"/>
        <v>1105.1999999999998</v>
      </c>
      <c r="AJ289" s="2">
        <f t="shared" si="45"/>
        <v>159.73076923076923</v>
      </c>
      <c r="AK289" s="2">
        <f t="shared" si="46"/>
        <v>151.93333333333334</v>
      </c>
      <c r="AL289" s="2">
        <f t="shared" si="47"/>
        <v>153.85</v>
      </c>
      <c r="AM289" s="2">
        <f t="shared" si="48"/>
        <v>147.9</v>
      </c>
      <c r="AN289" s="2">
        <f t="shared" si="49"/>
        <v>157.88571428571427</v>
      </c>
    </row>
    <row r="290" spans="1:40" x14ac:dyDescent="0.3">
      <c r="A290" t="s">
        <v>30</v>
      </c>
      <c r="B290">
        <v>2021</v>
      </c>
      <c r="C290" t="s">
        <v>34</v>
      </c>
      <c r="D290" s="2">
        <v>142.80000000000001</v>
      </c>
      <c r="E290" s="2">
        <v>184</v>
      </c>
      <c r="F290" s="2">
        <v>168</v>
      </c>
      <c r="G290" s="2">
        <v>154.4</v>
      </c>
      <c r="H290" s="2">
        <v>163</v>
      </c>
      <c r="I290" s="2">
        <v>147.80000000000001</v>
      </c>
      <c r="J290" s="2">
        <v>149.69999999999999</v>
      </c>
      <c r="K290" s="2">
        <v>158.30000000000001</v>
      </c>
      <c r="L290" s="2">
        <v>111.8</v>
      </c>
      <c r="M290" s="2">
        <v>165</v>
      </c>
      <c r="N290" s="2">
        <v>160</v>
      </c>
      <c r="O290" s="2">
        <v>165.8</v>
      </c>
      <c r="P290" s="2">
        <v>154.69999999999999</v>
      </c>
      <c r="Q290" s="2">
        <v>186.5</v>
      </c>
      <c r="R290" s="2">
        <v>159.1</v>
      </c>
      <c r="S290" s="2">
        <v>153.9</v>
      </c>
      <c r="T290" s="2">
        <v>158.4</v>
      </c>
      <c r="U290" s="2">
        <f>AVERAGE(U291,U292)</f>
        <v>159.80000000000001</v>
      </c>
      <c r="V290" s="2">
        <v>154.4</v>
      </c>
      <c r="W290" s="2">
        <v>154.80000000000001</v>
      </c>
      <c r="X290" s="2">
        <v>164.3</v>
      </c>
      <c r="Y290" s="2">
        <v>150.19999999999999</v>
      </c>
      <c r="Z290" s="2">
        <v>157</v>
      </c>
      <c r="AA290" s="2">
        <v>163.6</v>
      </c>
      <c r="AB290" s="2">
        <v>155.19999999999999</v>
      </c>
      <c r="AC290" s="2">
        <v>157.19999999999999</v>
      </c>
      <c r="AD290" s="2">
        <v>156.69999999999999</v>
      </c>
      <c r="AE290" s="2">
        <f t="shared" si="40"/>
        <v>2025.3</v>
      </c>
      <c r="AF290" s="2">
        <f t="shared" si="41"/>
        <v>471.4</v>
      </c>
      <c r="AG290" s="2">
        <f t="shared" si="42"/>
        <v>314.60000000000002</v>
      </c>
      <c r="AH290" s="2">
        <f t="shared" si="43"/>
        <v>154.4</v>
      </c>
      <c r="AI290" s="2">
        <f t="shared" si="44"/>
        <v>1134</v>
      </c>
      <c r="AJ290" s="2">
        <f t="shared" si="45"/>
        <v>155.7923076923077</v>
      </c>
      <c r="AK290" s="2">
        <f t="shared" si="46"/>
        <v>157.13333333333333</v>
      </c>
      <c r="AL290" s="2">
        <f t="shared" si="47"/>
        <v>157.30000000000001</v>
      </c>
      <c r="AM290" s="2">
        <f t="shared" si="48"/>
        <v>154.4</v>
      </c>
      <c r="AN290" s="2">
        <f t="shared" si="49"/>
        <v>162</v>
      </c>
    </row>
    <row r="291" spans="1:40" x14ac:dyDescent="0.3">
      <c r="A291" t="s">
        <v>32</v>
      </c>
      <c r="B291">
        <v>2021</v>
      </c>
      <c r="C291" t="s">
        <v>34</v>
      </c>
      <c r="D291" s="2">
        <v>147.6</v>
      </c>
      <c r="E291" s="2">
        <v>191.2</v>
      </c>
      <c r="F291" s="2">
        <v>169.9</v>
      </c>
      <c r="G291" s="2">
        <v>155.1</v>
      </c>
      <c r="H291" s="2">
        <v>151.4</v>
      </c>
      <c r="I291" s="2">
        <v>154</v>
      </c>
      <c r="J291" s="2">
        <v>180.2</v>
      </c>
      <c r="K291" s="2">
        <v>159.80000000000001</v>
      </c>
      <c r="L291" s="2">
        <v>114.9</v>
      </c>
      <c r="M291" s="2">
        <v>162.5</v>
      </c>
      <c r="N291" s="2">
        <v>149.19999999999999</v>
      </c>
      <c r="O291" s="2">
        <v>169.4</v>
      </c>
      <c r="P291" s="2">
        <v>160.80000000000001</v>
      </c>
      <c r="Q291" s="2">
        <v>193.3</v>
      </c>
      <c r="R291" s="2">
        <v>154.19999999999999</v>
      </c>
      <c r="S291" s="2">
        <v>138.19999999999999</v>
      </c>
      <c r="T291" s="2">
        <v>151.80000000000001</v>
      </c>
      <c r="U291" s="2">
        <v>159.80000000000001</v>
      </c>
      <c r="V291" s="2">
        <v>149.1</v>
      </c>
      <c r="W291" s="2">
        <v>146.5</v>
      </c>
      <c r="X291" s="2">
        <v>156.30000000000001</v>
      </c>
      <c r="Y291" s="2">
        <v>140.5</v>
      </c>
      <c r="Z291" s="2">
        <v>147.30000000000001</v>
      </c>
      <c r="AA291" s="2">
        <v>156.6</v>
      </c>
      <c r="AB291" s="2">
        <v>156.69999999999999</v>
      </c>
      <c r="AC291" s="2">
        <v>149.30000000000001</v>
      </c>
      <c r="AD291" s="2">
        <v>156.5</v>
      </c>
      <c r="AE291" s="2">
        <f t="shared" si="40"/>
        <v>2066</v>
      </c>
      <c r="AF291" s="2">
        <f t="shared" si="41"/>
        <v>444.2</v>
      </c>
      <c r="AG291" s="2">
        <f t="shared" si="42"/>
        <v>306.3</v>
      </c>
      <c r="AH291" s="2">
        <f t="shared" si="43"/>
        <v>149.1</v>
      </c>
      <c r="AI291" s="2">
        <f t="shared" si="44"/>
        <v>1100</v>
      </c>
      <c r="AJ291" s="2">
        <f t="shared" si="45"/>
        <v>158.92307692307693</v>
      </c>
      <c r="AK291" s="2">
        <f t="shared" si="46"/>
        <v>148.06666666666666</v>
      </c>
      <c r="AL291" s="2">
        <f t="shared" si="47"/>
        <v>153.15</v>
      </c>
      <c r="AM291" s="2">
        <f t="shared" si="48"/>
        <v>149.1</v>
      </c>
      <c r="AN291" s="2">
        <f t="shared" si="49"/>
        <v>157.14285714285714</v>
      </c>
    </row>
    <row r="292" spans="1:40" x14ac:dyDescent="0.3">
      <c r="A292" t="s">
        <v>33</v>
      </c>
      <c r="B292">
        <v>2021</v>
      </c>
      <c r="C292" t="s">
        <v>34</v>
      </c>
      <c r="D292" s="2">
        <v>144.30000000000001</v>
      </c>
      <c r="E292" s="2">
        <v>186.5</v>
      </c>
      <c r="F292" s="2">
        <v>168.7</v>
      </c>
      <c r="G292" s="2">
        <v>154.69999999999999</v>
      </c>
      <c r="H292" s="2">
        <v>158.69999999999999</v>
      </c>
      <c r="I292" s="2">
        <v>150.69999999999999</v>
      </c>
      <c r="J292" s="2">
        <v>160</v>
      </c>
      <c r="K292" s="2">
        <v>158.80000000000001</v>
      </c>
      <c r="L292" s="2">
        <v>112.8</v>
      </c>
      <c r="M292" s="2">
        <v>164.2</v>
      </c>
      <c r="N292" s="2">
        <v>155.5</v>
      </c>
      <c r="O292" s="2">
        <v>167.5</v>
      </c>
      <c r="P292" s="2">
        <v>156.9</v>
      </c>
      <c r="Q292" s="2">
        <v>188.3</v>
      </c>
      <c r="R292" s="2">
        <v>157.19999999999999</v>
      </c>
      <c r="S292" s="2">
        <v>147.4</v>
      </c>
      <c r="T292" s="2">
        <v>155.80000000000001</v>
      </c>
      <c r="U292" s="2">
        <v>159.80000000000001</v>
      </c>
      <c r="V292" s="2">
        <v>152.4</v>
      </c>
      <c r="W292" s="2">
        <v>150.9</v>
      </c>
      <c r="X292" s="2">
        <v>161.30000000000001</v>
      </c>
      <c r="Y292" s="2">
        <v>145.1</v>
      </c>
      <c r="Z292" s="2">
        <v>151.5</v>
      </c>
      <c r="AA292" s="2">
        <v>159.5</v>
      </c>
      <c r="AB292" s="2">
        <v>155.80000000000001</v>
      </c>
      <c r="AC292" s="2">
        <v>153.4</v>
      </c>
      <c r="AD292" s="2">
        <v>156.6</v>
      </c>
      <c r="AE292" s="2">
        <f t="shared" si="40"/>
        <v>2039.3000000000002</v>
      </c>
      <c r="AF292" s="2">
        <f t="shared" si="41"/>
        <v>460.40000000000003</v>
      </c>
      <c r="AG292" s="2">
        <f t="shared" si="42"/>
        <v>310.70000000000005</v>
      </c>
      <c r="AH292" s="2">
        <f t="shared" si="43"/>
        <v>152.4</v>
      </c>
      <c r="AI292" s="2">
        <f t="shared" si="44"/>
        <v>1114.9000000000001</v>
      </c>
      <c r="AJ292" s="2">
        <f t="shared" si="45"/>
        <v>156.8692307692308</v>
      </c>
      <c r="AK292" s="2">
        <f t="shared" si="46"/>
        <v>153.46666666666667</v>
      </c>
      <c r="AL292" s="2">
        <f t="shared" si="47"/>
        <v>155.35000000000002</v>
      </c>
      <c r="AM292" s="2">
        <f t="shared" si="48"/>
        <v>152.4</v>
      </c>
      <c r="AN292" s="2">
        <f t="shared" si="49"/>
        <v>159.27142857142857</v>
      </c>
    </row>
    <row r="293" spans="1:40" x14ac:dyDescent="0.3">
      <c r="A293" t="s">
        <v>30</v>
      </c>
      <c r="B293">
        <v>2021</v>
      </c>
      <c r="C293" t="s">
        <v>35</v>
      </c>
      <c r="D293" s="2">
        <v>142.5</v>
      </c>
      <c r="E293" s="2">
        <v>189.4</v>
      </c>
      <c r="F293" s="2">
        <v>163.19999999999999</v>
      </c>
      <c r="G293" s="2">
        <v>154.5</v>
      </c>
      <c r="H293" s="2">
        <v>168.2</v>
      </c>
      <c r="I293" s="2">
        <v>150.5</v>
      </c>
      <c r="J293" s="2">
        <v>141</v>
      </c>
      <c r="K293" s="2">
        <v>159.19999999999999</v>
      </c>
      <c r="L293" s="2">
        <v>111.7</v>
      </c>
      <c r="M293" s="2">
        <v>164</v>
      </c>
      <c r="N293" s="2">
        <v>160.6</v>
      </c>
      <c r="O293" s="2">
        <v>166.4</v>
      </c>
      <c r="P293" s="2">
        <v>154.5</v>
      </c>
      <c r="Q293" s="2">
        <v>186.1</v>
      </c>
      <c r="R293" s="2">
        <v>159.6</v>
      </c>
      <c r="S293" s="2">
        <v>154.4</v>
      </c>
      <c r="T293" s="2">
        <v>158.9</v>
      </c>
      <c r="U293" s="2">
        <f>AVERAGE(U294,U295)</f>
        <v>159.9</v>
      </c>
      <c r="V293" s="2">
        <v>156</v>
      </c>
      <c r="W293" s="2">
        <v>154.80000000000001</v>
      </c>
      <c r="X293" s="2">
        <v>164.6</v>
      </c>
      <c r="Y293" s="2">
        <v>151.30000000000001</v>
      </c>
      <c r="Z293" s="2">
        <v>157.80000000000001</v>
      </c>
      <c r="AA293" s="2">
        <v>163.80000000000001</v>
      </c>
      <c r="AB293" s="2">
        <v>153.1</v>
      </c>
      <c r="AC293" s="2">
        <v>157.30000000000001</v>
      </c>
      <c r="AD293" s="2">
        <v>156.69999999999999</v>
      </c>
      <c r="AE293" s="2">
        <f t="shared" si="40"/>
        <v>2025.7</v>
      </c>
      <c r="AF293" s="2">
        <f t="shared" si="41"/>
        <v>472.9</v>
      </c>
      <c r="AG293" s="2">
        <f t="shared" si="42"/>
        <v>314.70000000000005</v>
      </c>
      <c r="AH293" s="2">
        <f t="shared" si="43"/>
        <v>156</v>
      </c>
      <c r="AI293" s="2">
        <f t="shared" si="44"/>
        <v>1134</v>
      </c>
      <c r="AJ293" s="2">
        <f t="shared" si="45"/>
        <v>155.82307692307694</v>
      </c>
      <c r="AK293" s="2">
        <f t="shared" si="46"/>
        <v>157.63333333333333</v>
      </c>
      <c r="AL293" s="2">
        <f t="shared" si="47"/>
        <v>157.35000000000002</v>
      </c>
      <c r="AM293" s="2">
        <f t="shared" si="48"/>
        <v>156</v>
      </c>
      <c r="AN293" s="2">
        <f t="shared" si="49"/>
        <v>162</v>
      </c>
    </row>
    <row r="294" spans="1:40" x14ac:dyDescent="0.3">
      <c r="A294" t="s">
        <v>32</v>
      </c>
      <c r="B294">
        <v>2021</v>
      </c>
      <c r="C294" t="s">
        <v>35</v>
      </c>
      <c r="D294" s="2">
        <v>147.5</v>
      </c>
      <c r="E294" s="2">
        <v>197.5</v>
      </c>
      <c r="F294" s="2">
        <v>164.7</v>
      </c>
      <c r="G294" s="2">
        <v>155.6</v>
      </c>
      <c r="H294" s="2">
        <v>156.4</v>
      </c>
      <c r="I294" s="2">
        <v>157.30000000000001</v>
      </c>
      <c r="J294" s="2">
        <v>166.1</v>
      </c>
      <c r="K294" s="2">
        <v>161.1</v>
      </c>
      <c r="L294" s="2">
        <v>114.3</v>
      </c>
      <c r="M294" s="2">
        <v>162.6</v>
      </c>
      <c r="N294" s="2">
        <v>150.69999999999999</v>
      </c>
      <c r="O294" s="2">
        <v>170.3</v>
      </c>
      <c r="P294" s="2">
        <v>160.4</v>
      </c>
      <c r="Q294" s="2">
        <v>193.5</v>
      </c>
      <c r="R294" s="2">
        <v>155.1</v>
      </c>
      <c r="S294" s="2">
        <v>138.69999999999999</v>
      </c>
      <c r="T294" s="2">
        <v>152.6</v>
      </c>
      <c r="U294" s="2">
        <v>159.9</v>
      </c>
      <c r="V294" s="2">
        <v>154.80000000000001</v>
      </c>
      <c r="W294" s="2">
        <v>147.19999999999999</v>
      </c>
      <c r="X294" s="2">
        <v>156.9</v>
      </c>
      <c r="Y294" s="2">
        <v>141.69999999999999</v>
      </c>
      <c r="Z294" s="2">
        <v>148.6</v>
      </c>
      <c r="AA294" s="2">
        <v>157.6</v>
      </c>
      <c r="AB294" s="2">
        <v>154.9</v>
      </c>
      <c r="AC294" s="2">
        <v>150</v>
      </c>
      <c r="AD294" s="2">
        <v>156.9</v>
      </c>
      <c r="AE294" s="2">
        <f t="shared" si="40"/>
        <v>2064.4999999999995</v>
      </c>
      <c r="AF294" s="2">
        <f t="shared" si="41"/>
        <v>446.4</v>
      </c>
      <c r="AG294" s="2">
        <f t="shared" si="42"/>
        <v>307.10000000000002</v>
      </c>
      <c r="AH294" s="2">
        <f t="shared" si="43"/>
        <v>154.80000000000001</v>
      </c>
      <c r="AI294" s="2">
        <f t="shared" si="44"/>
        <v>1103.2</v>
      </c>
      <c r="AJ294" s="2">
        <f t="shared" si="45"/>
        <v>158.80769230769226</v>
      </c>
      <c r="AK294" s="2">
        <f t="shared" si="46"/>
        <v>148.79999999999998</v>
      </c>
      <c r="AL294" s="2">
        <f t="shared" si="47"/>
        <v>153.55000000000001</v>
      </c>
      <c r="AM294" s="2">
        <f t="shared" si="48"/>
        <v>154.80000000000001</v>
      </c>
      <c r="AN294" s="2">
        <f t="shared" si="49"/>
        <v>157.6</v>
      </c>
    </row>
    <row r="295" spans="1:40" x14ac:dyDescent="0.3">
      <c r="A295" t="s">
        <v>33</v>
      </c>
      <c r="B295">
        <v>2021</v>
      </c>
      <c r="C295" t="s">
        <v>35</v>
      </c>
      <c r="D295" s="2">
        <v>144.1</v>
      </c>
      <c r="E295" s="2">
        <v>192.2</v>
      </c>
      <c r="F295" s="2">
        <v>163.80000000000001</v>
      </c>
      <c r="G295" s="2">
        <v>154.9</v>
      </c>
      <c r="H295" s="2">
        <v>163.9</v>
      </c>
      <c r="I295" s="2">
        <v>153.69999999999999</v>
      </c>
      <c r="J295" s="2">
        <v>149.5</v>
      </c>
      <c r="K295" s="2">
        <v>159.80000000000001</v>
      </c>
      <c r="L295" s="2">
        <v>112.6</v>
      </c>
      <c r="M295" s="2">
        <v>163.5</v>
      </c>
      <c r="N295" s="2">
        <v>156.5</v>
      </c>
      <c r="O295" s="2">
        <v>168.2</v>
      </c>
      <c r="P295" s="2">
        <v>156.69999999999999</v>
      </c>
      <c r="Q295" s="2">
        <v>188.1</v>
      </c>
      <c r="R295" s="2">
        <v>157.80000000000001</v>
      </c>
      <c r="S295" s="2">
        <v>147.9</v>
      </c>
      <c r="T295" s="2">
        <v>156.4</v>
      </c>
      <c r="U295" s="2">
        <v>159.9</v>
      </c>
      <c r="V295" s="2">
        <v>155.5</v>
      </c>
      <c r="W295" s="2">
        <v>151.19999999999999</v>
      </c>
      <c r="X295" s="2">
        <v>161.69999999999999</v>
      </c>
      <c r="Y295" s="2">
        <v>146.19999999999999</v>
      </c>
      <c r="Z295" s="2">
        <v>152.6</v>
      </c>
      <c r="AA295" s="2">
        <v>160.19999999999999</v>
      </c>
      <c r="AB295" s="2">
        <v>153.80000000000001</v>
      </c>
      <c r="AC295" s="2">
        <v>153.80000000000001</v>
      </c>
      <c r="AD295" s="2">
        <v>156.80000000000001</v>
      </c>
      <c r="AE295" s="2">
        <f t="shared" si="40"/>
        <v>2039.3999999999999</v>
      </c>
      <c r="AF295" s="2">
        <f t="shared" si="41"/>
        <v>462.1</v>
      </c>
      <c r="AG295" s="2">
        <f t="shared" si="42"/>
        <v>311.10000000000002</v>
      </c>
      <c r="AH295" s="2">
        <f t="shared" si="43"/>
        <v>155.5</v>
      </c>
      <c r="AI295" s="2">
        <f t="shared" si="44"/>
        <v>1116.3999999999999</v>
      </c>
      <c r="AJ295" s="2">
        <f t="shared" si="45"/>
        <v>156.87692307692308</v>
      </c>
      <c r="AK295" s="2">
        <f t="shared" si="46"/>
        <v>154.03333333333333</v>
      </c>
      <c r="AL295" s="2">
        <f t="shared" si="47"/>
        <v>155.55000000000001</v>
      </c>
      <c r="AM295" s="2">
        <f t="shared" si="48"/>
        <v>155.5</v>
      </c>
      <c r="AN295" s="2">
        <f t="shared" si="49"/>
        <v>159.48571428571427</v>
      </c>
    </row>
    <row r="296" spans="1:40" x14ac:dyDescent="0.3">
      <c r="A296" t="s">
        <v>30</v>
      </c>
      <c r="B296">
        <v>2021</v>
      </c>
      <c r="C296" t="s">
        <v>36</v>
      </c>
      <c r="D296" s="2">
        <v>142.69999999999999</v>
      </c>
      <c r="E296" s="2">
        <v>195.5</v>
      </c>
      <c r="F296" s="2">
        <v>163.4</v>
      </c>
      <c r="G296" s="2">
        <v>155</v>
      </c>
      <c r="H296" s="2">
        <v>175.2</v>
      </c>
      <c r="I296" s="2">
        <v>160.6</v>
      </c>
      <c r="J296" s="2">
        <v>135.1</v>
      </c>
      <c r="K296" s="2">
        <v>161.1</v>
      </c>
      <c r="L296" s="2">
        <v>112.2</v>
      </c>
      <c r="M296" s="2">
        <v>164.4</v>
      </c>
      <c r="N296" s="2">
        <v>161.9</v>
      </c>
      <c r="O296" s="2">
        <v>166.8</v>
      </c>
      <c r="P296" s="2">
        <v>155.6</v>
      </c>
      <c r="Q296" s="2">
        <v>186.8</v>
      </c>
      <c r="R296" s="2">
        <v>160.69999999999999</v>
      </c>
      <c r="S296" s="2">
        <v>155.1</v>
      </c>
      <c r="T296" s="2">
        <v>159.9</v>
      </c>
      <c r="U296" s="2">
        <f>AVERAGE(U297,U298)</f>
        <v>161.4</v>
      </c>
      <c r="V296" s="2">
        <v>156</v>
      </c>
      <c r="W296" s="2">
        <v>155.5</v>
      </c>
      <c r="X296" s="2">
        <v>165.3</v>
      </c>
      <c r="Y296" s="2">
        <v>151.69999999999999</v>
      </c>
      <c r="Z296" s="2">
        <v>158.6</v>
      </c>
      <c r="AA296" s="2">
        <v>164.1</v>
      </c>
      <c r="AB296" s="2">
        <v>154.6</v>
      </c>
      <c r="AC296" s="2">
        <v>158</v>
      </c>
      <c r="AD296" s="2">
        <v>157.6</v>
      </c>
      <c r="AE296" s="2">
        <f t="shared" si="40"/>
        <v>2049.5</v>
      </c>
      <c r="AF296" s="2">
        <f t="shared" si="41"/>
        <v>475.69999999999993</v>
      </c>
      <c r="AG296" s="2">
        <f t="shared" si="42"/>
        <v>316.89999999999998</v>
      </c>
      <c r="AH296" s="2">
        <f t="shared" si="43"/>
        <v>156</v>
      </c>
      <c r="AI296" s="2">
        <f t="shared" si="44"/>
        <v>1139.1000000000001</v>
      </c>
      <c r="AJ296" s="2">
        <f t="shared" si="45"/>
        <v>157.65384615384616</v>
      </c>
      <c r="AK296" s="2">
        <f t="shared" si="46"/>
        <v>158.56666666666663</v>
      </c>
      <c r="AL296" s="2">
        <f t="shared" si="47"/>
        <v>158.44999999999999</v>
      </c>
      <c r="AM296" s="2">
        <f t="shared" si="48"/>
        <v>156</v>
      </c>
      <c r="AN296" s="2">
        <f t="shared" si="49"/>
        <v>162.72857142857146</v>
      </c>
    </row>
    <row r="297" spans="1:40" x14ac:dyDescent="0.3">
      <c r="A297" t="s">
        <v>32</v>
      </c>
      <c r="B297">
        <v>2021</v>
      </c>
      <c r="C297" t="s">
        <v>36</v>
      </c>
      <c r="D297" s="2">
        <v>147.6</v>
      </c>
      <c r="E297" s="2">
        <v>202.5</v>
      </c>
      <c r="F297" s="2">
        <v>166.4</v>
      </c>
      <c r="G297" s="2">
        <v>156</v>
      </c>
      <c r="H297" s="2">
        <v>161.4</v>
      </c>
      <c r="I297" s="2">
        <v>168.8</v>
      </c>
      <c r="J297" s="2">
        <v>161.6</v>
      </c>
      <c r="K297" s="2">
        <v>162.80000000000001</v>
      </c>
      <c r="L297" s="2">
        <v>114.8</v>
      </c>
      <c r="M297" s="2">
        <v>162.80000000000001</v>
      </c>
      <c r="N297" s="2">
        <v>151.5</v>
      </c>
      <c r="O297" s="2">
        <v>171.4</v>
      </c>
      <c r="P297" s="2">
        <v>162</v>
      </c>
      <c r="Q297" s="2">
        <v>194.4</v>
      </c>
      <c r="R297" s="2">
        <v>155.9</v>
      </c>
      <c r="S297" s="2">
        <v>139.30000000000001</v>
      </c>
      <c r="T297" s="2">
        <v>153.4</v>
      </c>
      <c r="U297" s="2">
        <v>161.4</v>
      </c>
      <c r="V297" s="2">
        <v>154.9</v>
      </c>
      <c r="W297" s="2">
        <v>147.6</v>
      </c>
      <c r="X297" s="2">
        <v>157.5</v>
      </c>
      <c r="Y297" s="2">
        <v>142.1</v>
      </c>
      <c r="Z297" s="2">
        <v>149.1</v>
      </c>
      <c r="AA297" s="2">
        <v>157.6</v>
      </c>
      <c r="AB297" s="2">
        <v>156.6</v>
      </c>
      <c r="AC297" s="2">
        <v>150.5</v>
      </c>
      <c r="AD297" s="2">
        <v>158</v>
      </c>
      <c r="AE297" s="2">
        <f t="shared" si="40"/>
        <v>2089.6</v>
      </c>
      <c r="AF297" s="2">
        <f t="shared" si="41"/>
        <v>448.6</v>
      </c>
      <c r="AG297" s="2">
        <f t="shared" si="42"/>
        <v>309</v>
      </c>
      <c r="AH297" s="2">
        <f t="shared" si="43"/>
        <v>154.9</v>
      </c>
      <c r="AI297" s="2">
        <f t="shared" si="44"/>
        <v>1107.8000000000002</v>
      </c>
      <c r="AJ297" s="2">
        <f t="shared" si="45"/>
        <v>160.73846153846154</v>
      </c>
      <c r="AK297" s="2">
        <f t="shared" si="46"/>
        <v>149.53333333333333</v>
      </c>
      <c r="AL297" s="2">
        <f t="shared" si="47"/>
        <v>154.5</v>
      </c>
      <c r="AM297" s="2">
        <f t="shared" si="48"/>
        <v>154.9</v>
      </c>
      <c r="AN297" s="2">
        <f t="shared" si="49"/>
        <v>158.2571428571429</v>
      </c>
    </row>
    <row r="298" spans="1:40" x14ac:dyDescent="0.3">
      <c r="A298" t="s">
        <v>33</v>
      </c>
      <c r="B298">
        <v>2021</v>
      </c>
      <c r="C298" t="s">
        <v>36</v>
      </c>
      <c r="D298" s="2">
        <v>144.30000000000001</v>
      </c>
      <c r="E298" s="2">
        <v>198</v>
      </c>
      <c r="F298" s="2">
        <v>164.6</v>
      </c>
      <c r="G298" s="2">
        <v>155.4</v>
      </c>
      <c r="H298" s="2">
        <v>170.1</v>
      </c>
      <c r="I298" s="2">
        <v>164.4</v>
      </c>
      <c r="J298" s="2">
        <v>144.1</v>
      </c>
      <c r="K298" s="2">
        <v>161.69999999999999</v>
      </c>
      <c r="L298" s="2">
        <v>113.1</v>
      </c>
      <c r="M298" s="2">
        <v>163.9</v>
      </c>
      <c r="N298" s="2">
        <v>157.6</v>
      </c>
      <c r="O298" s="2">
        <v>168.9</v>
      </c>
      <c r="P298" s="2">
        <v>158</v>
      </c>
      <c r="Q298" s="2">
        <v>188.8</v>
      </c>
      <c r="R298" s="2">
        <v>158.80000000000001</v>
      </c>
      <c r="S298" s="2">
        <v>148.5</v>
      </c>
      <c r="T298" s="2">
        <v>157.30000000000001</v>
      </c>
      <c r="U298" s="2">
        <v>161.4</v>
      </c>
      <c r="V298" s="2">
        <v>155.6</v>
      </c>
      <c r="W298" s="2">
        <v>151.80000000000001</v>
      </c>
      <c r="X298" s="2">
        <v>162.30000000000001</v>
      </c>
      <c r="Y298" s="2">
        <v>146.6</v>
      </c>
      <c r="Z298" s="2">
        <v>153.19999999999999</v>
      </c>
      <c r="AA298" s="2">
        <v>160.30000000000001</v>
      </c>
      <c r="AB298" s="2">
        <v>155.4</v>
      </c>
      <c r="AC298" s="2">
        <v>154.4</v>
      </c>
      <c r="AD298" s="2">
        <v>157.80000000000001</v>
      </c>
      <c r="AE298" s="2">
        <f t="shared" si="40"/>
        <v>2064.1</v>
      </c>
      <c r="AF298" s="2">
        <f t="shared" si="41"/>
        <v>464.6</v>
      </c>
      <c r="AG298" s="2">
        <f t="shared" si="42"/>
        <v>313.20000000000005</v>
      </c>
      <c r="AH298" s="2">
        <f t="shared" si="43"/>
        <v>155.6</v>
      </c>
      <c r="AI298" s="2">
        <f t="shared" si="44"/>
        <v>1121</v>
      </c>
      <c r="AJ298" s="2">
        <f t="shared" si="45"/>
        <v>158.77692307692308</v>
      </c>
      <c r="AK298" s="2">
        <f t="shared" si="46"/>
        <v>154.86666666666667</v>
      </c>
      <c r="AL298" s="2">
        <f t="shared" si="47"/>
        <v>156.60000000000002</v>
      </c>
      <c r="AM298" s="2">
        <f t="shared" si="48"/>
        <v>155.6</v>
      </c>
      <c r="AN298" s="2">
        <f t="shared" si="49"/>
        <v>160.14285714285714</v>
      </c>
    </row>
    <row r="299" spans="1:40" x14ac:dyDescent="0.3">
      <c r="A299" t="s">
        <v>30</v>
      </c>
      <c r="B299">
        <v>2021</v>
      </c>
      <c r="C299" t="s">
        <v>37</v>
      </c>
      <c r="D299" s="2">
        <v>145.1</v>
      </c>
      <c r="E299" s="2">
        <v>198.5</v>
      </c>
      <c r="F299" s="2">
        <v>168.6</v>
      </c>
      <c r="G299" s="2">
        <v>155.80000000000001</v>
      </c>
      <c r="H299" s="2">
        <v>184.4</v>
      </c>
      <c r="I299" s="2">
        <v>162.30000000000001</v>
      </c>
      <c r="J299" s="2">
        <v>138.4</v>
      </c>
      <c r="K299" s="2">
        <v>165.1</v>
      </c>
      <c r="L299" s="2">
        <v>114.3</v>
      </c>
      <c r="M299" s="2">
        <v>169.7</v>
      </c>
      <c r="N299" s="2">
        <v>164.6</v>
      </c>
      <c r="O299" s="2">
        <v>169.8</v>
      </c>
      <c r="P299" s="2">
        <v>158.69999999999999</v>
      </c>
      <c r="Q299" s="2">
        <v>189.6</v>
      </c>
      <c r="R299" s="2">
        <v>165.3</v>
      </c>
      <c r="S299" s="2">
        <v>160.6</v>
      </c>
      <c r="T299" s="2">
        <v>164.5</v>
      </c>
      <c r="U299" s="2">
        <f>AVERAGE(U300,U301)</f>
        <v>161.6</v>
      </c>
      <c r="V299" s="2">
        <v>161.69999999999999</v>
      </c>
      <c r="W299" s="2">
        <v>158.80000000000001</v>
      </c>
      <c r="X299" s="2">
        <v>169.1</v>
      </c>
      <c r="Y299" s="2">
        <v>153.19999999999999</v>
      </c>
      <c r="Z299" s="2">
        <v>160</v>
      </c>
      <c r="AA299" s="2">
        <v>167.6</v>
      </c>
      <c r="AB299" s="2">
        <v>159.30000000000001</v>
      </c>
      <c r="AC299" s="2">
        <v>161.1</v>
      </c>
      <c r="AD299" s="2">
        <v>161.1</v>
      </c>
      <c r="AE299" s="2">
        <f t="shared" si="40"/>
        <v>2095.2999999999997</v>
      </c>
      <c r="AF299" s="2">
        <f t="shared" si="41"/>
        <v>490.4</v>
      </c>
      <c r="AG299" s="2">
        <f t="shared" si="42"/>
        <v>320.39999999999998</v>
      </c>
      <c r="AH299" s="2">
        <f t="shared" si="43"/>
        <v>161.69999999999999</v>
      </c>
      <c r="AI299" s="2">
        <f t="shared" si="44"/>
        <v>1159.9000000000001</v>
      </c>
      <c r="AJ299" s="2">
        <f t="shared" si="45"/>
        <v>161.17692307692306</v>
      </c>
      <c r="AK299" s="2">
        <f t="shared" si="46"/>
        <v>163.46666666666667</v>
      </c>
      <c r="AL299" s="2">
        <f t="shared" si="47"/>
        <v>160.19999999999999</v>
      </c>
      <c r="AM299" s="2">
        <f t="shared" si="48"/>
        <v>161.69999999999999</v>
      </c>
      <c r="AN299" s="2">
        <f t="shared" si="49"/>
        <v>165.70000000000002</v>
      </c>
    </row>
    <row r="300" spans="1:40" x14ac:dyDescent="0.3">
      <c r="A300" t="s">
        <v>32</v>
      </c>
      <c r="B300">
        <v>2021</v>
      </c>
      <c r="C300" t="s">
        <v>37</v>
      </c>
      <c r="D300" s="2">
        <v>148.80000000000001</v>
      </c>
      <c r="E300" s="2">
        <v>204.3</v>
      </c>
      <c r="F300" s="2">
        <v>173</v>
      </c>
      <c r="G300" s="2">
        <v>156.5</v>
      </c>
      <c r="H300" s="2">
        <v>168.8</v>
      </c>
      <c r="I300" s="2">
        <v>172.5</v>
      </c>
      <c r="J300" s="2">
        <v>166.5</v>
      </c>
      <c r="K300" s="2">
        <v>165.9</v>
      </c>
      <c r="L300" s="2">
        <v>115.9</v>
      </c>
      <c r="M300" s="2">
        <v>165.2</v>
      </c>
      <c r="N300" s="2">
        <v>152</v>
      </c>
      <c r="O300" s="2">
        <v>171.1</v>
      </c>
      <c r="P300" s="2">
        <v>164.2</v>
      </c>
      <c r="Q300" s="2">
        <v>198.2</v>
      </c>
      <c r="R300" s="2">
        <v>156.5</v>
      </c>
      <c r="S300" s="2">
        <v>140.19999999999999</v>
      </c>
      <c r="T300" s="2">
        <v>154.1</v>
      </c>
      <c r="U300" s="2">
        <v>161.6</v>
      </c>
      <c r="V300" s="2">
        <v>155.5</v>
      </c>
      <c r="W300" s="2">
        <v>150.1</v>
      </c>
      <c r="X300" s="2">
        <v>160.4</v>
      </c>
      <c r="Y300" s="2">
        <v>145</v>
      </c>
      <c r="Z300" s="2">
        <v>152.6</v>
      </c>
      <c r="AA300" s="2">
        <v>156.6</v>
      </c>
      <c r="AB300" s="2">
        <v>157.5</v>
      </c>
      <c r="AC300" s="2">
        <v>152.30000000000001</v>
      </c>
      <c r="AD300" s="2">
        <v>159.5</v>
      </c>
      <c r="AE300" s="2">
        <f t="shared" si="40"/>
        <v>2124.7000000000003</v>
      </c>
      <c r="AF300" s="2">
        <f t="shared" si="41"/>
        <v>450.79999999999995</v>
      </c>
      <c r="AG300" s="2">
        <f t="shared" si="42"/>
        <v>311.7</v>
      </c>
      <c r="AH300" s="2">
        <f t="shared" si="43"/>
        <v>155.5</v>
      </c>
      <c r="AI300" s="2">
        <f t="shared" si="44"/>
        <v>1122.6000000000001</v>
      </c>
      <c r="AJ300" s="2">
        <f t="shared" si="45"/>
        <v>163.43846153846155</v>
      </c>
      <c r="AK300" s="2">
        <f t="shared" si="46"/>
        <v>150.26666666666665</v>
      </c>
      <c r="AL300" s="2">
        <f t="shared" si="47"/>
        <v>155.85</v>
      </c>
      <c r="AM300" s="2">
        <f t="shared" si="48"/>
        <v>155.5</v>
      </c>
      <c r="AN300" s="2">
        <f t="shared" si="49"/>
        <v>160.37142857142859</v>
      </c>
    </row>
    <row r="301" spans="1:40" x14ac:dyDescent="0.3">
      <c r="A301" t="s">
        <v>33</v>
      </c>
      <c r="B301">
        <v>2021</v>
      </c>
      <c r="C301" t="s">
        <v>37</v>
      </c>
      <c r="D301" s="2">
        <v>146.30000000000001</v>
      </c>
      <c r="E301" s="2">
        <v>200.5</v>
      </c>
      <c r="F301" s="2">
        <v>170.3</v>
      </c>
      <c r="G301" s="2">
        <v>156.1</v>
      </c>
      <c r="H301" s="2">
        <v>178.7</v>
      </c>
      <c r="I301" s="2">
        <v>167.1</v>
      </c>
      <c r="J301" s="2">
        <v>147.9</v>
      </c>
      <c r="K301" s="2">
        <v>165.4</v>
      </c>
      <c r="L301" s="2">
        <v>114.8</v>
      </c>
      <c r="M301" s="2">
        <v>168.2</v>
      </c>
      <c r="N301" s="2">
        <v>159.30000000000001</v>
      </c>
      <c r="O301" s="2">
        <v>170.4</v>
      </c>
      <c r="P301" s="2">
        <v>160.69999999999999</v>
      </c>
      <c r="Q301" s="2">
        <v>191.9</v>
      </c>
      <c r="R301" s="2">
        <v>161.80000000000001</v>
      </c>
      <c r="S301" s="2">
        <v>152.1</v>
      </c>
      <c r="T301" s="2">
        <v>160.4</v>
      </c>
      <c r="U301" s="2">
        <v>161.6</v>
      </c>
      <c r="V301" s="2">
        <v>159.4</v>
      </c>
      <c r="W301" s="2">
        <v>154.69999999999999</v>
      </c>
      <c r="X301" s="2">
        <v>165.8</v>
      </c>
      <c r="Y301" s="2">
        <v>148.9</v>
      </c>
      <c r="Z301" s="2">
        <v>155.80000000000001</v>
      </c>
      <c r="AA301" s="2">
        <v>161.19999999999999</v>
      </c>
      <c r="AB301" s="2">
        <v>158.6</v>
      </c>
      <c r="AC301" s="2">
        <v>156.80000000000001</v>
      </c>
      <c r="AD301" s="2">
        <v>160.4</v>
      </c>
      <c r="AE301" s="2">
        <f t="shared" si="40"/>
        <v>2105.7000000000003</v>
      </c>
      <c r="AF301" s="2">
        <f t="shared" si="41"/>
        <v>474.29999999999995</v>
      </c>
      <c r="AG301" s="2">
        <f t="shared" si="42"/>
        <v>316.29999999999995</v>
      </c>
      <c r="AH301" s="2">
        <f t="shared" si="43"/>
        <v>159.4</v>
      </c>
      <c r="AI301" s="2">
        <f t="shared" si="44"/>
        <v>1139.0000000000002</v>
      </c>
      <c r="AJ301" s="2">
        <f t="shared" si="45"/>
        <v>161.9769230769231</v>
      </c>
      <c r="AK301" s="2">
        <f t="shared" si="46"/>
        <v>158.1</v>
      </c>
      <c r="AL301" s="2">
        <f t="shared" si="47"/>
        <v>158.14999999999998</v>
      </c>
      <c r="AM301" s="2">
        <f t="shared" si="48"/>
        <v>159.4</v>
      </c>
      <c r="AN301" s="2">
        <f t="shared" si="49"/>
        <v>162.71428571428575</v>
      </c>
    </row>
    <row r="302" spans="1:40" x14ac:dyDescent="0.3">
      <c r="A302" t="s">
        <v>30</v>
      </c>
      <c r="B302">
        <v>2021</v>
      </c>
      <c r="C302" t="s">
        <v>38</v>
      </c>
      <c r="D302" s="2">
        <v>145.6</v>
      </c>
      <c r="E302" s="2">
        <v>200.1</v>
      </c>
      <c r="F302" s="2">
        <v>179.3</v>
      </c>
      <c r="G302" s="2">
        <v>156.1</v>
      </c>
      <c r="H302" s="2">
        <v>190.4</v>
      </c>
      <c r="I302" s="2">
        <v>158.6</v>
      </c>
      <c r="J302" s="2">
        <v>144.69999999999999</v>
      </c>
      <c r="K302" s="2">
        <v>165.5</v>
      </c>
      <c r="L302" s="2">
        <v>114.6</v>
      </c>
      <c r="M302" s="2">
        <v>170</v>
      </c>
      <c r="N302" s="2">
        <v>165.5</v>
      </c>
      <c r="O302" s="2">
        <v>171.7</v>
      </c>
      <c r="P302" s="2">
        <v>160.5</v>
      </c>
      <c r="Q302" s="2">
        <v>189.1</v>
      </c>
      <c r="R302" s="2">
        <v>165.3</v>
      </c>
      <c r="S302" s="2">
        <v>159.9</v>
      </c>
      <c r="T302" s="2">
        <v>164.6</v>
      </c>
      <c r="U302" s="2">
        <f>AVERAGE(U303,U304)</f>
        <v>160.5</v>
      </c>
      <c r="V302" s="2">
        <v>162.1</v>
      </c>
      <c r="W302" s="2">
        <v>159.19999999999999</v>
      </c>
      <c r="X302" s="2">
        <v>169.7</v>
      </c>
      <c r="Y302" s="2">
        <v>154.19999999999999</v>
      </c>
      <c r="Z302" s="2">
        <v>160.4</v>
      </c>
      <c r="AA302" s="2">
        <v>166.8</v>
      </c>
      <c r="AB302" s="2">
        <v>159.4</v>
      </c>
      <c r="AC302" s="2">
        <v>161.5</v>
      </c>
      <c r="AD302" s="2">
        <v>162.1</v>
      </c>
      <c r="AE302" s="2">
        <f t="shared" si="40"/>
        <v>2122.6</v>
      </c>
      <c r="AF302" s="2">
        <f t="shared" si="41"/>
        <v>489.80000000000007</v>
      </c>
      <c r="AG302" s="2">
        <f t="shared" si="42"/>
        <v>319.7</v>
      </c>
      <c r="AH302" s="2">
        <f t="shared" si="43"/>
        <v>162.1</v>
      </c>
      <c r="AI302" s="2">
        <f t="shared" si="44"/>
        <v>1161.0999999999999</v>
      </c>
      <c r="AJ302" s="2">
        <f t="shared" si="45"/>
        <v>163.27692307692308</v>
      </c>
      <c r="AK302" s="2">
        <f t="shared" si="46"/>
        <v>163.26666666666668</v>
      </c>
      <c r="AL302" s="2">
        <f t="shared" si="47"/>
        <v>159.85</v>
      </c>
      <c r="AM302" s="2">
        <f t="shared" si="48"/>
        <v>162.1</v>
      </c>
      <c r="AN302" s="2">
        <f t="shared" si="49"/>
        <v>165.87142857142857</v>
      </c>
    </row>
    <row r="303" spans="1:40" x14ac:dyDescent="0.3">
      <c r="A303" t="s">
        <v>32</v>
      </c>
      <c r="B303">
        <v>2021</v>
      </c>
      <c r="C303" t="s">
        <v>38</v>
      </c>
      <c r="D303" s="2">
        <v>149.19999999999999</v>
      </c>
      <c r="E303" s="2">
        <v>205.5</v>
      </c>
      <c r="F303" s="2">
        <v>182.8</v>
      </c>
      <c r="G303" s="2">
        <v>156.5</v>
      </c>
      <c r="H303" s="2">
        <v>172.2</v>
      </c>
      <c r="I303" s="2">
        <v>171.5</v>
      </c>
      <c r="J303" s="2">
        <v>176.2</v>
      </c>
      <c r="K303" s="2">
        <v>166.9</v>
      </c>
      <c r="L303" s="2">
        <v>116.1</v>
      </c>
      <c r="M303" s="2">
        <v>165.5</v>
      </c>
      <c r="N303" s="2">
        <v>152.30000000000001</v>
      </c>
      <c r="O303" s="2">
        <v>173.3</v>
      </c>
      <c r="P303" s="2">
        <v>166.2</v>
      </c>
      <c r="Q303" s="2">
        <v>195.6</v>
      </c>
      <c r="R303" s="2">
        <v>157.30000000000001</v>
      </c>
      <c r="S303" s="2">
        <v>140.5</v>
      </c>
      <c r="T303" s="2">
        <v>154.80000000000001</v>
      </c>
      <c r="U303" s="2">
        <v>160.5</v>
      </c>
      <c r="V303" s="2">
        <v>156.1</v>
      </c>
      <c r="W303" s="2">
        <v>149.80000000000001</v>
      </c>
      <c r="X303" s="2">
        <v>160.80000000000001</v>
      </c>
      <c r="Y303" s="2">
        <v>147.5</v>
      </c>
      <c r="Z303" s="2">
        <v>150.69999999999999</v>
      </c>
      <c r="AA303" s="2">
        <v>158.1</v>
      </c>
      <c r="AB303" s="2">
        <v>158</v>
      </c>
      <c r="AC303" s="2">
        <v>153.4</v>
      </c>
      <c r="AD303" s="2">
        <v>160.4</v>
      </c>
      <c r="AE303" s="2">
        <f t="shared" si="40"/>
        <v>2154.1999999999998</v>
      </c>
      <c r="AF303" s="2">
        <f t="shared" si="41"/>
        <v>452.6</v>
      </c>
      <c r="AG303" s="2">
        <f t="shared" si="42"/>
        <v>310.3</v>
      </c>
      <c r="AH303" s="2">
        <f t="shared" si="43"/>
        <v>156.1</v>
      </c>
      <c r="AI303" s="2">
        <f t="shared" si="44"/>
        <v>1124.0999999999999</v>
      </c>
      <c r="AJ303" s="2">
        <f t="shared" si="45"/>
        <v>165.7076923076923</v>
      </c>
      <c r="AK303" s="2">
        <f t="shared" si="46"/>
        <v>150.86666666666667</v>
      </c>
      <c r="AL303" s="2">
        <f t="shared" si="47"/>
        <v>155.15</v>
      </c>
      <c r="AM303" s="2">
        <f t="shared" si="48"/>
        <v>156.1</v>
      </c>
      <c r="AN303" s="2">
        <f t="shared" si="49"/>
        <v>160.58571428571426</v>
      </c>
    </row>
    <row r="304" spans="1:40" x14ac:dyDescent="0.3">
      <c r="A304" t="s">
        <v>33</v>
      </c>
      <c r="B304">
        <v>2021</v>
      </c>
      <c r="C304" t="s">
        <v>38</v>
      </c>
      <c r="D304" s="2">
        <v>146.69999999999999</v>
      </c>
      <c r="E304" s="2">
        <v>202</v>
      </c>
      <c r="F304" s="2">
        <v>180.7</v>
      </c>
      <c r="G304" s="2">
        <v>156.19999999999999</v>
      </c>
      <c r="H304" s="2">
        <v>183.7</v>
      </c>
      <c r="I304" s="2">
        <v>164.6</v>
      </c>
      <c r="J304" s="2">
        <v>155.4</v>
      </c>
      <c r="K304" s="2">
        <v>166</v>
      </c>
      <c r="L304" s="2">
        <v>115.1</v>
      </c>
      <c r="M304" s="2">
        <v>168.5</v>
      </c>
      <c r="N304" s="2">
        <v>160</v>
      </c>
      <c r="O304" s="2">
        <v>172.4</v>
      </c>
      <c r="P304" s="2">
        <v>162.6</v>
      </c>
      <c r="Q304" s="2">
        <v>190.8</v>
      </c>
      <c r="R304" s="2">
        <v>162.19999999999999</v>
      </c>
      <c r="S304" s="2">
        <v>151.80000000000001</v>
      </c>
      <c r="T304" s="2">
        <v>160.69999999999999</v>
      </c>
      <c r="U304" s="2">
        <v>160.5</v>
      </c>
      <c r="V304" s="2">
        <v>159.80000000000001</v>
      </c>
      <c r="W304" s="2">
        <v>154.80000000000001</v>
      </c>
      <c r="X304" s="2">
        <v>166.3</v>
      </c>
      <c r="Y304" s="2">
        <v>150.69999999999999</v>
      </c>
      <c r="Z304" s="2">
        <v>154.9</v>
      </c>
      <c r="AA304" s="2">
        <v>161.69999999999999</v>
      </c>
      <c r="AB304" s="2">
        <v>158.80000000000001</v>
      </c>
      <c r="AC304" s="2">
        <v>157.6</v>
      </c>
      <c r="AD304" s="2">
        <v>161.30000000000001</v>
      </c>
      <c r="AE304" s="2">
        <f t="shared" si="40"/>
        <v>2133.9</v>
      </c>
      <c r="AF304" s="2">
        <f t="shared" si="41"/>
        <v>474.7</v>
      </c>
      <c r="AG304" s="2">
        <f t="shared" si="42"/>
        <v>315.3</v>
      </c>
      <c r="AH304" s="2">
        <f t="shared" si="43"/>
        <v>159.80000000000001</v>
      </c>
      <c r="AI304" s="2">
        <f t="shared" si="44"/>
        <v>1140.8</v>
      </c>
      <c r="AJ304" s="2">
        <f t="shared" si="45"/>
        <v>164.14615384615385</v>
      </c>
      <c r="AK304" s="2">
        <f t="shared" si="46"/>
        <v>158.23333333333332</v>
      </c>
      <c r="AL304" s="2">
        <f t="shared" si="47"/>
        <v>157.65</v>
      </c>
      <c r="AM304" s="2">
        <f t="shared" si="48"/>
        <v>159.80000000000001</v>
      </c>
      <c r="AN304" s="2">
        <f t="shared" si="49"/>
        <v>162.97142857142856</v>
      </c>
    </row>
    <row r="305" spans="1:40" x14ac:dyDescent="0.3">
      <c r="A305" t="s">
        <v>30</v>
      </c>
      <c r="B305">
        <v>2021</v>
      </c>
      <c r="C305" t="s">
        <v>39</v>
      </c>
      <c r="D305" s="2">
        <v>145.1</v>
      </c>
      <c r="E305" s="2">
        <v>204.5</v>
      </c>
      <c r="F305" s="2">
        <v>180.4</v>
      </c>
      <c r="G305" s="2">
        <v>157.1</v>
      </c>
      <c r="H305" s="2">
        <v>188.7</v>
      </c>
      <c r="I305" s="2">
        <v>157.69999999999999</v>
      </c>
      <c r="J305" s="2">
        <v>152.80000000000001</v>
      </c>
      <c r="K305" s="2">
        <v>163.6</v>
      </c>
      <c r="L305" s="2">
        <v>113.9</v>
      </c>
      <c r="M305" s="2">
        <v>169.7</v>
      </c>
      <c r="N305" s="2">
        <v>166.2</v>
      </c>
      <c r="O305" s="2">
        <v>171</v>
      </c>
      <c r="P305" s="2">
        <v>161.69999999999999</v>
      </c>
      <c r="Q305" s="2">
        <v>189.7</v>
      </c>
      <c r="R305" s="2">
        <v>166</v>
      </c>
      <c r="S305" s="2">
        <v>161.1</v>
      </c>
      <c r="T305" s="2">
        <v>165.3</v>
      </c>
      <c r="U305" s="2">
        <f>AVERAGE(U306,U307)</f>
        <v>161.5</v>
      </c>
      <c r="V305" s="2">
        <v>162.5</v>
      </c>
      <c r="W305" s="2">
        <v>160.30000000000001</v>
      </c>
      <c r="X305" s="2">
        <v>170.4</v>
      </c>
      <c r="Y305" s="2">
        <v>157.1</v>
      </c>
      <c r="Z305" s="2">
        <v>160.69999999999999</v>
      </c>
      <c r="AA305" s="2">
        <v>167.2</v>
      </c>
      <c r="AB305" s="2">
        <v>160.4</v>
      </c>
      <c r="AC305" s="2">
        <v>162.80000000000001</v>
      </c>
      <c r="AD305" s="2">
        <v>163.19999999999999</v>
      </c>
      <c r="AE305" s="2">
        <f t="shared" si="40"/>
        <v>2132.4</v>
      </c>
      <c r="AF305" s="2">
        <f t="shared" si="41"/>
        <v>492.40000000000003</v>
      </c>
      <c r="AG305" s="2">
        <f t="shared" si="42"/>
        <v>321.8</v>
      </c>
      <c r="AH305" s="2">
        <f t="shared" si="43"/>
        <v>162.5</v>
      </c>
      <c r="AI305" s="2">
        <f t="shared" si="44"/>
        <v>1168.3</v>
      </c>
      <c r="AJ305" s="2">
        <f t="shared" si="45"/>
        <v>164.03076923076924</v>
      </c>
      <c r="AK305" s="2">
        <f t="shared" si="46"/>
        <v>164.13333333333335</v>
      </c>
      <c r="AL305" s="2">
        <f t="shared" si="47"/>
        <v>160.9</v>
      </c>
      <c r="AM305" s="2">
        <f t="shared" si="48"/>
        <v>162.5</v>
      </c>
      <c r="AN305" s="2">
        <f t="shared" si="49"/>
        <v>166.9</v>
      </c>
    </row>
    <row r="306" spans="1:40" x14ac:dyDescent="0.3">
      <c r="A306" t="s">
        <v>32</v>
      </c>
      <c r="B306">
        <v>2021</v>
      </c>
      <c r="C306" t="s">
        <v>39</v>
      </c>
      <c r="D306" s="2">
        <v>149.1</v>
      </c>
      <c r="E306" s="2">
        <v>210.9</v>
      </c>
      <c r="F306" s="2">
        <v>185</v>
      </c>
      <c r="G306" s="2">
        <v>158.19999999999999</v>
      </c>
      <c r="H306" s="2">
        <v>170.6</v>
      </c>
      <c r="I306" s="2">
        <v>170.9</v>
      </c>
      <c r="J306" s="2">
        <v>186.4</v>
      </c>
      <c r="K306" s="2">
        <v>164.7</v>
      </c>
      <c r="L306" s="2">
        <v>115.7</v>
      </c>
      <c r="M306" s="2">
        <v>165.5</v>
      </c>
      <c r="N306" s="2">
        <v>153.4</v>
      </c>
      <c r="O306" s="2">
        <v>173.5</v>
      </c>
      <c r="P306" s="2">
        <v>167.9</v>
      </c>
      <c r="Q306" s="2">
        <v>195.5</v>
      </c>
      <c r="R306" s="2">
        <v>157.9</v>
      </c>
      <c r="S306" s="2">
        <v>141.9</v>
      </c>
      <c r="T306" s="2">
        <v>155.5</v>
      </c>
      <c r="U306" s="2">
        <v>161.5</v>
      </c>
      <c r="V306" s="2">
        <v>157.69999999999999</v>
      </c>
      <c r="W306" s="2">
        <v>150.69999999999999</v>
      </c>
      <c r="X306" s="2">
        <v>161.5</v>
      </c>
      <c r="Y306" s="2">
        <v>149.5</v>
      </c>
      <c r="Z306" s="2">
        <v>151.19999999999999</v>
      </c>
      <c r="AA306" s="2">
        <v>160.30000000000001</v>
      </c>
      <c r="AB306" s="2">
        <v>159.6</v>
      </c>
      <c r="AC306" s="2">
        <v>155</v>
      </c>
      <c r="AD306" s="2">
        <v>161.80000000000001</v>
      </c>
      <c r="AE306" s="2">
        <f t="shared" si="40"/>
        <v>2171.8000000000002</v>
      </c>
      <c r="AF306" s="2">
        <f t="shared" si="41"/>
        <v>455.3</v>
      </c>
      <c r="AG306" s="2">
        <f t="shared" si="42"/>
        <v>312.2</v>
      </c>
      <c r="AH306" s="2">
        <f t="shared" si="43"/>
        <v>157.69999999999999</v>
      </c>
      <c r="AI306" s="2">
        <f t="shared" si="44"/>
        <v>1132.5999999999999</v>
      </c>
      <c r="AJ306" s="2">
        <f t="shared" si="45"/>
        <v>167.06153846153848</v>
      </c>
      <c r="AK306" s="2">
        <f t="shared" si="46"/>
        <v>151.76666666666668</v>
      </c>
      <c r="AL306" s="2">
        <f t="shared" si="47"/>
        <v>156.1</v>
      </c>
      <c r="AM306" s="2">
        <f t="shared" si="48"/>
        <v>157.69999999999999</v>
      </c>
      <c r="AN306" s="2">
        <f t="shared" si="49"/>
        <v>161.79999999999998</v>
      </c>
    </row>
    <row r="307" spans="1:40" x14ac:dyDescent="0.3">
      <c r="A307" t="s">
        <v>33</v>
      </c>
      <c r="B307">
        <v>2021</v>
      </c>
      <c r="C307" t="s">
        <v>39</v>
      </c>
      <c r="D307" s="2">
        <v>146.4</v>
      </c>
      <c r="E307" s="2">
        <v>206.8</v>
      </c>
      <c r="F307" s="2">
        <v>182.2</v>
      </c>
      <c r="G307" s="2">
        <v>157.5</v>
      </c>
      <c r="H307" s="2">
        <v>182.1</v>
      </c>
      <c r="I307" s="2">
        <v>163.9</v>
      </c>
      <c r="J307" s="2">
        <v>164.2</v>
      </c>
      <c r="K307" s="2">
        <v>164</v>
      </c>
      <c r="L307" s="2">
        <v>114.5</v>
      </c>
      <c r="M307" s="2">
        <v>168.3</v>
      </c>
      <c r="N307" s="2">
        <v>160.9</v>
      </c>
      <c r="O307" s="2">
        <v>172.2</v>
      </c>
      <c r="P307" s="2">
        <v>164</v>
      </c>
      <c r="Q307" s="2">
        <v>191.2</v>
      </c>
      <c r="R307" s="2">
        <v>162.80000000000001</v>
      </c>
      <c r="S307" s="2">
        <v>153.1</v>
      </c>
      <c r="T307" s="2">
        <v>161.4</v>
      </c>
      <c r="U307" s="2">
        <v>161.5</v>
      </c>
      <c r="V307" s="2">
        <v>160.69999999999999</v>
      </c>
      <c r="W307" s="2">
        <v>155.80000000000001</v>
      </c>
      <c r="X307" s="2">
        <v>167</v>
      </c>
      <c r="Y307" s="2">
        <v>153.1</v>
      </c>
      <c r="Z307" s="2">
        <v>155.30000000000001</v>
      </c>
      <c r="AA307" s="2">
        <v>163.19999999999999</v>
      </c>
      <c r="AB307" s="2">
        <v>160.1</v>
      </c>
      <c r="AC307" s="2">
        <v>159</v>
      </c>
      <c r="AD307" s="2">
        <v>162.5</v>
      </c>
      <c r="AE307" s="2">
        <f t="shared" si="40"/>
        <v>2147</v>
      </c>
      <c r="AF307" s="2">
        <f t="shared" si="41"/>
        <v>477.29999999999995</v>
      </c>
      <c r="AG307" s="2">
        <f t="shared" si="42"/>
        <v>317.3</v>
      </c>
      <c r="AH307" s="2">
        <f t="shared" si="43"/>
        <v>160.69999999999999</v>
      </c>
      <c r="AI307" s="2">
        <f t="shared" si="44"/>
        <v>1148.9000000000001</v>
      </c>
      <c r="AJ307" s="2">
        <f t="shared" si="45"/>
        <v>165.15384615384616</v>
      </c>
      <c r="AK307" s="2">
        <f t="shared" si="46"/>
        <v>159.1</v>
      </c>
      <c r="AL307" s="2">
        <f t="shared" si="47"/>
        <v>158.65</v>
      </c>
      <c r="AM307" s="2">
        <f t="shared" si="48"/>
        <v>160.69999999999999</v>
      </c>
      <c r="AN307" s="2">
        <f t="shared" si="49"/>
        <v>164.12857142857143</v>
      </c>
    </row>
    <row r="308" spans="1:40" x14ac:dyDescent="0.3">
      <c r="A308" t="s">
        <v>30</v>
      </c>
      <c r="B308">
        <v>2021</v>
      </c>
      <c r="C308" t="s">
        <v>40</v>
      </c>
      <c r="D308" s="2">
        <v>144.9</v>
      </c>
      <c r="E308" s="2">
        <v>202.3</v>
      </c>
      <c r="F308" s="2">
        <v>176.5</v>
      </c>
      <c r="G308" s="2">
        <v>157.5</v>
      </c>
      <c r="H308" s="2">
        <v>190.9</v>
      </c>
      <c r="I308" s="2">
        <v>155.69999999999999</v>
      </c>
      <c r="J308" s="2">
        <v>153.9</v>
      </c>
      <c r="K308" s="2">
        <v>162.80000000000001</v>
      </c>
      <c r="L308" s="2">
        <v>115.2</v>
      </c>
      <c r="M308" s="2">
        <v>169.8</v>
      </c>
      <c r="N308" s="2">
        <v>167.6</v>
      </c>
      <c r="O308" s="2">
        <v>171.9</v>
      </c>
      <c r="P308" s="2">
        <v>161.80000000000001</v>
      </c>
      <c r="Q308" s="2">
        <v>190.2</v>
      </c>
      <c r="R308" s="2">
        <v>167</v>
      </c>
      <c r="S308" s="2">
        <v>162.6</v>
      </c>
      <c r="T308" s="2">
        <v>166.3</v>
      </c>
      <c r="U308" s="2">
        <f>AVERAGE(U309,U310)</f>
        <v>162.1</v>
      </c>
      <c r="V308" s="2">
        <v>163.1</v>
      </c>
      <c r="W308" s="2">
        <v>160.9</v>
      </c>
      <c r="X308" s="2">
        <v>171.1</v>
      </c>
      <c r="Y308" s="2">
        <v>157.69999999999999</v>
      </c>
      <c r="Z308" s="2">
        <v>161.1</v>
      </c>
      <c r="AA308" s="2">
        <v>167.5</v>
      </c>
      <c r="AB308" s="2">
        <v>160.30000000000001</v>
      </c>
      <c r="AC308" s="2">
        <v>163.30000000000001</v>
      </c>
      <c r="AD308" s="2">
        <v>163.6</v>
      </c>
      <c r="AE308" s="2">
        <f t="shared" si="40"/>
        <v>2130.8000000000002</v>
      </c>
      <c r="AF308" s="2">
        <f t="shared" si="41"/>
        <v>495.90000000000003</v>
      </c>
      <c r="AG308" s="2">
        <f t="shared" si="42"/>
        <v>323</v>
      </c>
      <c r="AH308" s="2">
        <f t="shared" si="43"/>
        <v>163.1</v>
      </c>
      <c r="AI308" s="2">
        <f t="shared" si="44"/>
        <v>1171.2</v>
      </c>
      <c r="AJ308" s="2">
        <f t="shared" si="45"/>
        <v>163.90769230769232</v>
      </c>
      <c r="AK308" s="2">
        <f t="shared" si="46"/>
        <v>165.3</v>
      </c>
      <c r="AL308" s="2">
        <f t="shared" si="47"/>
        <v>161.5</v>
      </c>
      <c r="AM308" s="2">
        <f t="shared" si="48"/>
        <v>163.1</v>
      </c>
      <c r="AN308" s="2">
        <f t="shared" si="49"/>
        <v>167.31428571428572</v>
      </c>
    </row>
    <row r="309" spans="1:40" x14ac:dyDescent="0.3">
      <c r="A309" t="s">
        <v>32</v>
      </c>
      <c r="B309">
        <v>2021</v>
      </c>
      <c r="C309" t="s">
        <v>40</v>
      </c>
      <c r="D309" s="2">
        <v>149.30000000000001</v>
      </c>
      <c r="E309" s="2">
        <v>207.4</v>
      </c>
      <c r="F309" s="2">
        <v>174.1</v>
      </c>
      <c r="G309" s="2">
        <v>159.19999999999999</v>
      </c>
      <c r="H309" s="2">
        <v>175</v>
      </c>
      <c r="I309" s="2">
        <v>161.30000000000001</v>
      </c>
      <c r="J309" s="2">
        <v>183.3</v>
      </c>
      <c r="K309" s="2">
        <v>164.5</v>
      </c>
      <c r="L309" s="2">
        <v>120.4</v>
      </c>
      <c r="M309" s="2">
        <v>166.2</v>
      </c>
      <c r="N309" s="2">
        <v>154.80000000000001</v>
      </c>
      <c r="O309" s="2">
        <v>175.1</v>
      </c>
      <c r="P309" s="2">
        <v>167.3</v>
      </c>
      <c r="Q309" s="2">
        <v>196.5</v>
      </c>
      <c r="R309" s="2">
        <v>159.80000000000001</v>
      </c>
      <c r="S309" s="2">
        <v>143.6</v>
      </c>
      <c r="T309" s="2">
        <v>157.30000000000001</v>
      </c>
      <c r="U309" s="2">
        <v>162.1</v>
      </c>
      <c r="V309" s="2">
        <v>160.69999999999999</v>
      </c>
      <c r="W309" s="2">
        <v>153.19999999999999</v>
      </c>
      <c r="X309" s="2">
        <v>162.80000000000001</v>
      </c>
      <c r="Y309" s="2">
        <v>150.4</v>
      </c>
      <c r="Z309" s="2">
        <v>153.69999999999999</v>
      </c>
      <c r="AA309" s="2">
        <v>160.4</v>
      </c>
      <c r="AB309" s="2">
        <v>159.6</v>
      </c>
      <c r="AC309" s="2">
        <v>156</v>
      </c>
      <c r="AD309" s="2">
        <v>162.30000000000001</v>
      </c>
      <c r="AE309" s="2">
        <f t="shared" si="40"/>
        <v>2157.9</v>
      </c>
      <c r="AF309" s="2">
        <f t="shared" si="41"/>
        <v>460.7</v>
      </c>
      <c r="AG309" s="2">
        <f t="shared" si="42"/>
        <v>315.29999999999995</v>
      </c>
      <c r="AH309" s="2">
        <f t="shared" si="43"/>
        <v>160.69999999999999</v>
      </c>
      <c r="AI309" s="2">
        <f t="shared" si="44"/>
        <v>1139.4000000000001</v>
      </c>
      <c r="AJ309" s="2">
        <f t="shared" si="45"/>
        <v>165.99230769230769</v>
      </c>
      <c r="AK309" s="2">
        <f t="shared" si="46"/>
        <v>153.56666666666666</v>
      </c>
      <c r="AL309" s="2">
        <f t="shared" si="47"/>
        <v>157.64999999999998</v>
      </c>
      <c r="AM309" s="2">
        <f t="shared" si="48"/>
        <v>160.69999999999999</v>
      </c>
      <c r="AN309" s="2">
        <f t="shared" si="49"/>
        <v>162.77142857142857</v>
      </c>
    </row>
    <row r="310" spans="1:40" x14ac:dyDescent="0.3">
      <c r="A310" t="s">
        <v>33</v>
      </c>
      <c r="B310">
        <v>2021</v>
      </c>
      <c r="C310" t="s">
        <v>40</v>
      </c>
      <c r="D310" s="2">
        <v>146.6</v>
      </c>
      <c r="E310" s="2">
        <v>204</v>
      </c>
      <c r="F310" s="2">
        <v>172.8</v>
      </c>
      <c r="G310" s="2">
        <v>158.4</v>
      </c>
      <c r="H310" s="2">
        <v>188</v>
      </c>
      <c r="I310" s="2">
        <v>156.80000000000001</v>
      </c>
      <c r="J310" s="2">
        <v>162.19999999999999</v>
      </c>
      <c r="K310" s="2">
        <v>164.1</v>
      </c>
      <c r="L310" s="2">
        <v>119.7</v>
      </c>
      <c r="M310" s="2">
        <v>168.8</v>
      </c>
      <c r="N310" s="2">
        <v>162.69999999999999</v>
      </c>
      <c r="O310" s="2">
        <v>173.9</v>
      </c>
      <c r="P310" s="2">
        <v>164</v>
      </c>
      <c r="Q310" s="2">
        <v>192.1</v>
      </c>
      <c r="R310" s="2">
        <v>164.5</v>
      </c>
      <c r="S310" s="2">
        <v>155.30000000000001</v>
      </c>
      <c r="T310" s="2">
        <v>163.19999999999999</v>
      </c>
      <c r="U310" s="2">
        <v>162.1</v>
      </c>
      <c r="V310" s="2">
        <v>162.6</v>
      </c>
      <c r="W310" s="2">
        <v>157.5</v>
      </c>
      <c r="X310" s="2">
        <v>168.4</v>
      </c>
      <c r="Y310" s="2">
        <v>154</v>
      </c>
      <c r="Z310" s="2">
        <v>157.6</v>
      </c>
      <c r="AA310" s="2">
        <v>163.80000000000001</v>
      </c>
      <c r="AB310" s="2">
        <v>160</v>
      </c>
      <c r="AC310" s="2">
        <v>160</v>
      </c>
      <c r="AD310" s="2">
        <v>163.19999999999999</v>
      </c>
      <c r="AE310" s="2">
        <f t="shared" si="40"/>
        <v>2142</v>
      </c>
      <c r="AF310" s="2">
        <f t="shared" si="41"/>
        <v>483</v>
      </c>
      <c r="AG310" s="2">
        <f t="shared" si="42"/>
        <v>319.60000000000002</v>
      </c>
      <c r="AH310" s="2">
        <f t="shared" si="43"/>
        <v>162.6</v>
      </c>
      <c r="AI310" s="2">
        <f t="shared" si="44"/>
        <v>1155.8999999999999</v>
      </c>
      <c r="AJ310" s="2">
        <f t="shared" si="45"/>
        <v>164.76923076923077</v>
      </c>
      <c r="AK310" s="2">
        <f t="shared" si="46"/>
        <v>161</v>
      </c>
      <c r="AL310" s="2">
        <f t="shared" si="47"/>
        <v>159.80000000000001</v>
      </c>
      <c r="AM310" s="2">
        <f t="shared" si="48"/>
        <v>162.6</v>
      </c>
      <c r="AN310" s="2">
        <f t="shared" si="49"/>
        <v>165.12857142857141</v>
      </c>
    </row>
    <row r="311" spans="1:40" x14ac:dyDescent="0.3">
      <c r="A311" t="s">
        <v>30</v>
      </c>
      <c r="B311">
        <v>2021</v>
      </c>
      <c r="C311" t="s">
        <v>41</v>
      </c>
      <c r="D311" s="2">
        <v>145.4</v>
      </c>
      <c r="E311" s="2">
        <v>202.1</v>
      </c>
      <c r="F311" s="2">
        <v>172</v>
      </c>
      <c r="G311" s="2">
        <v>158</v>
      </c>
      <c r="H311" s="2">
        <v>195.5</v>
      </c>
      <c r="I311" s="2">
        <v>152.69999999999999</v>
      </c>
      <c r="J311" s="2">
        <v>151.4</v>
      </c>
      <c r="K311" s="2">
        <v>163.9</v>
      </c>
      <c r="L311" s="2">
        <v>119.3</v>
      </c>
      <c r="M311" s="2">
        <v>170.1</v>
      </c>
      <c r="N311" s="2">
        <v>168.3</v>
      </c>
      <c r="O311" s="2">
        <v>172.8</v>
      </c>
      <c r="P311" s="2">
        <v>162.1</v>
      </c>
      <c r="Q311" s="2">
        <v>190.5</v>
      </c>
      <c r="R311" s="2">
        <v>167.7</v>
      </c>
      <c r="S311" s="2">
        <v>163.6</v>
      </c>
      <c r="T311" s="2">
        <v>167.1</v>
      </c>
      <c r="U311" s="2">
        <f>AVERAGE(U312,U313)</f>
        <v>162.1</v>
      </c>
      <c r="V311" s="2">
        <v>163.69999999999999</v>
      </c>
      <c r="W311" s="2">
        <v>161.30000000000001</v>
      </c>
      <c r="X311" s="2">
        <v>171.9</v>
      </c>
      <c r="Y311" s="2">
        <v>157.80000000000001</v>
      </c>
      <c r="Z311" s="2">
        <v>162.69999999999999</v>
      </c>
      <c r="AA311" s="2">
        <v>168.5</v>
      </c>
      <c r="AB311" s="2">
        <v>160.19999999999999</v>
      </c>
      <c r="AC311" s="2">
        <v>163.80000000000001</v>
      </c>
      <c r="AD311" s="2">
        <v>164</v>
      </c>
      <c r="AE311" s="2">
        <f t="shared" si="40"/>
        <v>2133.6</v>
      </c>
      <c r="AF311" s="2">
        <f t="shared" si="41"/>
        <v>498.4</v>
      </c>
      <c r="AG311" s="2">
        <f t="shared" si="42"/>
        <v>323.39999999999998</v>
      </c>
      <c r="AH311" s="2">
        <f t="shared" si="43"/>
        <v>163.69999999999999</v>
      </c>
      <c r="AI311" s="2">
        <f t="shared" si="44"/>
        <v>1175.4000000000001</v>
      </c>
      <c r="AJ311" s="2">
        <f t="shared" si="45"/>
        <v>164.12307692307692</v>
      </c>
      <c r="AK311" s="2">
        <f t="shared" si="46"/>
        <v>166.13333333333333</v>
      </c>
      <c r="AL311" s="2">
        <f t="shared" si="47"/>
        <v>161.69999999999999</v>
      </c>
      <c r="AM311" s="2">
        <f t="shared" si="48"/>
        <v>163.69999999999999</v>
      </c>
      <c r="AN311" s="2">
        <f t="shared" si="49"/>
        <v>167.91428571428574</v>
      </c>
    </row>
    <row r="312" spans="1:40" x14ac:dyDescent="0.3">
      <c r="A312" t="s">
        <v>32</v>
      </c>
      <c r="B312">
        <v>2021</v>
      </c>
      <c r="C312" t="s">
        <v>41</v>
      </c>
      <c r="D312" s="2">
        <v>149.30000000000001</v>
      </c>
      <c r="E312" s="2">
        <v>207.4</v>
      </c>
      <c r="F312" s="2">
        <v>174.1</v>
      </c>
      <c r="G312" s="2">
        <v>159.1</v>
      </c>
      <c r="H312" s="2">
        <v>175</v>
      </c>
      <c r="I312" s="2">
        <v>161.19999999999999</v>
      </c>
      <c r="J312" s="2">
        <v>183.5</v>
      </c>
      <c r="K312" s="2">
        <v>164.5</v>
      </c>
      <c r="L312" s="2">
        <v>120.4</v>
      </c>
      <c r="M312" s="2">
        <v>166.2</v>
      </c>
      <c r="N312" s="2">
        <v>154.80000000000001</v>
      </c>
      <c r="O312" s="2">
        <v>175.1</v>
      </c>
      <c r="P312" s="2">
        <v>167.3</v>
      </c>
      <c r="Q312" s="2">
        <v>196.5</v>
      </c>
      <c r="R312" s="2">
        <v>159.80000000000001</v>
      </c>
      <c r="S312" s="2">
        <v>143.6</v>
      </c>
      <c r="T312" s="2">
        <v>157.4</v>
      </c>
      <c r="U312" s="2">
        <v>162.1</v>
      </c>
      <c r="V312" s="2">
        <v>160.80000000000001</v>
      </c>
      <c r="W312" s="2">
        <v>153.30000000000001</v>
      </c>
      <c r="X312" s="2">
        <v>162.80000000000001</v>
      </c>
      <c r="Y312" s="2">
        <v>150.5</v>
      </c>
      <c r="Z312" s="2">
        <v>153.9</v>
      </c>
      <c r="AA312" s="2">
        <v>160.30000000000001</v>
      </c>
      <c r="AB312" s="2">
        <v>159.6</v>
      </c>
      <c r="AC312" s="2">
        <v>156</v>
      </c>
      <c r="AD312" s="2">
        <v>162.30000000000001</v>
      </c>
      <c r="AE312" s="2">
        <f t="shared" si="40"/>
        <v>2157.9</v>
      </c>
      <c r="AF312" s="2">
        <f t="shared" si="41"/>
        <v>460.79999999999995</v>
      </c>
      <c r="AG312" s="2">
        <f t="shared" si="42"/>
        <v>315.39999999999998</v>
      </c>
      <c r="AH312" s="2">
        <f t="shared" si="43"/>
        <v>160.80000000000001</v>
      </c>
      <c r="AI312" s="2">
        <f t="shared" si="44"/>
        <v>1139.5999999999999</v>
      </c>
      <c r="AJ312" s="2">
        <f t="shared" si="45"/>
        <v>165.99230769230769</v>
      </c>
      <c r="AK312" s="2">
        <f t="shared" si="46"/>
        <v>153.6</v>
      </c>
      <c r="AL312" s="2">
        <f t="shared" si="47"/>
        <v>157.69999999999999</v>
      </c>
      <c r="AM312" s="2">
        <f t="shared" si="48"/>
        <v>160.80000000000001</v>
      </c>
      <c r="AN312" s="2">
        <f t="shared" si="49"/>
        <v>162.79999999999998</v>
      </c>
    </row>
    <row r="313" spans="1:40" x14ac:dyDescent="0.3">
      <c r="A313" t="s">
        <v>33</v>
      </c>
      <c r="B313">
        <v>2021</v>
      </c>
      <c r="C313" t="s">
        <v>41</v>
      </c>
      <c r="D313" s="2">
        <v>146.6</v>
      </c>
      <c r="E313" s="2">
        <v>204</v>
      </c>
      <c r="F313" s="2">
        <v>172.8</v>
      </c>
      <c r="G313" s="2">
        <v>158.4</v>
      </c>
      <c r="H313" s="2">
        <v>188</v>
      </c>
      <c r="I313" s="2">
        <v>156.69999999999999</v>
      </c>
      <c r="J313" s="2">
        <v>162.30000000000001</v>
      </c>
      <c r="K313" s="2">
        <v>164.1</v>
      </c>
      <c r="L313" s="2">
        <v>119.7</v>
      </c>
      <c r="M313" s="2">
        <v>168.8</v>
      </c>
      <c r="N313" s="2">
        <v>162.69999999999999</v>
      </c>
      <c r="O313" s="2">
        <v>173.9</v>
      </c>
      <c r="P313" s="2">
        <v>164</v>
      </c>
      <c r="Q313" s="2">
        <v>192.1</v>
      </c>
      <c r="R313" s="2">
        <v>164.6</v>
      </c>
      <c r="S313" s="2">
        <v>155.30000000000001</v>
      </c>
      <c r="T313" s="2">
        <v>163.30000000000001</v>
      </c>
      <c r="U313" s="2">
        <v>162.1</v>
      </c>
      <c r="V313" s="2">
        <v>162.6</v>
      </c>
      <c r="W313" s="2">
        <v>157.5</v>
      </c>
      <c r="X313" s="2">
        <v>168.4</v>
      </c>
      <c r="Y313" s="2">
        <v>154</v>
      </c>
      <c r="Z313" s="2">
        <v>157.69999999999999</v>
      </c>
      <c r="AA313" s="2">
        <v>163.69999999999999</v>
      </c>
      <c r="AB313" s="2">
        <v>160</v>
      </c>
      <c r="AC313" s="2">
        <v>160</v>
      </c>
      <c r="AD313" s="2">
        <v>163.19999999999999</v>
      </c>
      <c r="AE313" s="2">
        <f t="shared" si="40"/>
        <v>2142</v>
      </c>
      <c r="AF313" s="2">
        <f t="shared" si="41"/>
        <v>483.2</v>
      </c>
      <c r="AG313" s="2">
        <f t="shared" si="42"/>
        <v>319.60000000000002</v>
      </c>
      <c r="AH313" s="2">
        <f t="shared" si="43"/>
        <v>162.6</v>
      </c>
      <c r="AI313" s="2">
        <f t="shared" si="44"/>
        <v>1155.8999999999999</v>
      </c>
      <c r="AJ313" s="2">
        <f t="shared" si="45"/>
        <v>164.76923076923077</v>
      </c>
      <c r="AK313" s="2">
        <f t="shared" si="46"/>
        <v>161.06666666666666</v>
      </c>
      <c r="AL313" s="2">
        <f t="shared" si="47"/>
        <v>159.80000000000001</v>
      </c>
      <c r="AM313" s="2">
        <f t="shared" si="48"/>
        <v>162.6</v>
      </c>
      <c r="AN313" s="2">
        <f t="shared" si="49"/>
        <v>165.12857142857141</v>
      </c>
    </row>
    <row r="314" spans="1:40" x14ac:dyDescent="0.3">
      <c r="A314" t="s">
        <v>30</v>
      </c>
      <c r="B314">
        <v>2021</v>
      </c>
      <c r="C314" t="s">
        <v>42</v>
      </c>
      <c r="D314" s="2">
        <v>146.1</v>
      </c>
      <c r="E314" s="2">
        <v>202.5</v>
      </c>
      <c r="F314" s="2">
        <v>170.1</v>
      </c>
      <c r="G314" s="2">
        <v>158.4</v>
      </c>
      <c r="H314" s="2">
        <v>198.8</v>
      </c>
      <c r="I314" s="2">
        <v>152.6</v>
      </c>
      <c r="J314" s="2">
        <v>170.4</v>
      </c>
      <c r="K314" s="2">
        <v>165.2</v>
      </c>
      <c r="L314" s="2">
        <v>121.6</v>
      </c>
      <c r="M314" s="2">
        <v>170.6</v>
      </c>
      <c r="N314" s="2">
        <v>168.8</v>
      </c>
      <c r="O314" s="2">
        <v>173.6</v>
      </c>
      <c r="P314" s="2">
        <v>165.5</v>
      </c>
      <c r="Q314" s="2">
        <v>191.2</v>
      </c>
      <c r="R314" s="2">
        <v>168.9</v>
      </c>
      <c r="S314" s="2">
        <v>164.8</v>
      </c>
      <c r="T314" s="2">
        <v>168.3</v>
      </c>
      <c r="U314" s="2">
        <f>AVERAGE(U315,U316)</f>
        <v>163.6</v>
      </c>
      <c r="V314" s="2">
        <v>165.5</v>
      </c>
      <c r="W314" s="2">
        <v>162</v>
      </c>
      <c r="X314" s="2">
        <v>172.5</v>
      </c>
      <c r="Y314" s="2">
        <v>159.5</v>
      </c>
      <c r="Z314" s="2">
        <v>163.19999999999999</v>
      </c>
      <c r="AA314" s="2">
        <v>169</v>
      </c>
      <c r="AB314" s="2">
        <v>161.1</v>
      </c>
      <c r="AC314" s="2">
        <v>164.7</v>
      </c>
      <c r="AD314" s="2">
        <v>166.3</v>
      </c>
      <c r="AE314" s="2">
        <f t="shared" si="40"/>
        <v>2164.1999999999998</v>
      </c>
      <c r="AF314" s="2">
        <f t="shared" si="41"/>
        <v>502.00000000000006</v>
      </c>
      <c r="AG314" s="2">
        <f t="shared" si="42"/>
        <v>325.60000000000002</v>
      </c>
      <c r="AH314" s="2">
        <f t="shared" si="43"/>
        <v>165.5</v>
      </c>
      <c r="AI314" s="2">
        <f t="shared" si="44"/>
        <v>1181.2</v>
      </c>
      <c r="AJ314" s="2">
        <f t="shared" si="45"/>
        <v>166.47692307692307</v>
      </c>
      <c r="AK314" s="2">
        <f t="shared" si="46"/>
        <v>167.33333333333334</v>
      </c>
      <c r="AL314" s="2">
        <f t="shared" si="47"/>
        <v>162.80000000000001</v>
      </c>
      <c r="AM314" s="2">
        <f t="shared" si="48"/>
        <v>165.5</v>
      </c>
      <c r="AN314" s="2">
        <f t="shared" si="49"/>
        <v>168.74285714285716</v>
      </c>
    </row>
    <row r="315" spans="1:40" x14ac:dyDescent="0.3">
      <c r="A315" t="s">
        <v>32</v>
      </c>
      <c r="B315">
        <v>2021</v>
      </c>
      <c r="C315" t="s">
        <v>42</v>
      </c>
      <c r="D315" s="2">
        <v>150.1</v>
      </c>
      <c r="E315" s="2">
        <v>208.4</v>
      </c>
      <c r="F315" s="2">
        <v>173</v>
      </c>
      <c r="G315" s="2">
        <v>159.19999999999999</v>
      </c>
      <c r="H315" s="2">
        <v>176.6</v>
      </c>
      <c r="I315" s="2">
        <v>159.30000000000001</v>
      </c>
      <c r="J315" s="2">
        <v>214.4</v>
      </c>
      <c r="K315" s="2">
        <v>165.3</v>
      </c>
      <c r="L315" s="2">
        <v>122.5</v>
      </c>
      <c r="M315" s="2">
        <v>166.8</v>
      </c>
      <c r="N315" s="2">
        <v>155.4</v>
      </c>
      <c r="O315" s="2">
        <v>175.9</v>
      </c>
      <c r="P315" s="2">
        <v>171.5</v>
      </c>
      <c r="Q315" s="2">
        <v>197</v>
      </c>
      <c r="R315" s="2">
        <v>160.80000000000001</v>
      </c>
      <c r="S315" s="2">
        <v>144.4</v>
      </c>
      <c r="T315" s="2">
        <v>158.30000000000001</v>
      </c>
      <c r="U315" s="2">
        <v>163.6</v>
      </c>
      <c r="V315" s="2">
        <v>162.19999999999999</v>
      </c>
      <c r="W315" s="2">
        <v>154.30000000000001</v>
      </c>
      <c r="X315" s="2">
        <v>163.5</v>
      </c>
      <c r="Y315" s="2">
        <v>152.19999999999999</v>
      </c>
      <c r="Z315" s="2">
        <v>155.1</v>
      </c>
      <c r="AA315" s="2">
        <v>160.30000000000001</v>
      </c>
      <c r="AB315" s="2">
        <v>160.30000000000001</v>
      </c>
      <c r="AC315" s="2">
        <v>157</v>
      </c>
      <c r="AD315" s="2">
        <v>164.6</v>
      </c>
      <c r="AE315" s="2">
        <f t="shared" si="40"/>
        <v>2198.4000000000005</v>
      </c>
      <c r="AF315" s="2">
        <f t="shared" si="41"/>
        <v>463.50000000000006</v>
      </c>
      <c r="AG315" s="2">
        <f t="shared" si="42"/>
        <v>317.89999999999998</v>
      </c>
      <c r="AH315" s="2">
        <f t="shared" si="43"/>
        <v>162.19999999999999</v>
      </c>
      <c r="AI315" s="2">
        <f t="shared" si="44"/>
        <v>1145.3999999999999</v>
      </c>
      <c r="AJ315" s="2">
        <f t="shared" si="45"/>
        <v>169.10769230769236</v>
      </c>
      <c r="AK315" s="2">
        <f t="shared" si="46"/>
        <v>154.50000000000003</v>
      </c>
      <c r="AL315" s="2">
        <f t="shared" si="47"/>
        <v>158.94999999999999</v>
      </c>
      <c r="AM315" s="2">
        <f t="shared" si="48"/>
        <v>162.19999999999999</v>
      </c>
      <c r="AN315" s="2">
        <f t="shared" si="49"/>
        <v>163.62857142857141</v>
      </c>
    </row>
    <row r="316" spans="1:40" x14ac:dyDescent="0.3">
      <c r="A316" t="s">
        <v>33</v>
      </c>
      <c r="B316">
        <v>2021</v>
      </c>
      <c r="C316" t="s">
        <v>42</v>
      </c>
      <c r="D316" s="2">
        <v>147.4</v>
      </c>
      <c r="E316" s="2">
        <v>204.6</v>
      </c>
      <c r="F316" s="2">
        <v>171.2</v>
      </c>
      <c r="G316" s="2">
        <v>158.69999999999999</v>
      </c>
      <c r="H316" s="2">
        <v>190.6</v>
      </c>
      <c r="I316" s="2">
        <v>155.69999999999999</v>
      </c>
      <c r="J316" s="2">
        <v>185.3</v>
      </c>
      <c r="K316" s="2">
        <v>165.2</v>
      </c>
      <c r="L316" s="2">
        <v>121.9</v>
      </c>
      <c r="M316" s="2">
        <v>169.3</v>
      </c>
      <c r="N316" s="2">
        <v>163.19999999999999</v>
      </c>
      <c r="O316" s="2">
        <v>174.7</v>
      </c>
      <c r="P316" s="2">
        <v>167.7</v>
      </c>
      <c r="Q316" s="2">
        <v>192.7</v>
      </c>
      <c r="R316" s="2">
        <v>165.7</v>
      </c>
      <c r="S316" s="2">
        <v>156.30000000000001</v>
      </c>
      <c r="T316" s="2">
        <v>164.3</v>
      </c>
      <c r="U316" s="2">
        <v>163.6</v>
      </c>
      <c r="V316" s="2">
        <v>164.2</v>
      </c>
      <c r="W316" s="2">
        <v>158.4</v>
      </c>
      <c r="X316" s="2">
        <v>169.1</v>
      </c>
      <c r="Y316" s="2">
        <v>155.69999999999999</v>
      </c>
      <c r="Z316" s="2">
        <v>158.6</v>
      </c>
      <c r="AA316" s="2">
        <v>163.9</v>
      </c>
      <c r="AB316" s="2">
        <v>160.80000000000001</v>
      </c>
      <c r="AC316" s="2">
        <v>161</v>
      </c>
      <c r="AD316" s="2">
        <v>165.5</v>
      </c>
      <c r="AE316" s="2">
        <f t="shared" si="40"/>
        <v>2175.5</v>
      </c>
      <c r="AF316" s="2">
        <f t="shared" si="41"/>
        <v>486.3</v>
      </c>
      <c r="AG316" s="2">
        <f t="shared" si="42"/>
        <v>322</v>
      </c>
      <c r="AH316" s="2">
        <f t="shared" si="43"/>
        <v>164.2</v>
      </c>
      <c r="AI316" s="2">
        <f t="shared" si="44"/>
        <v>1161.8</v>
      </c>
      <c r="AJ316" s="2">
        <f t="shared" si="45"/>
        <v>167.34615384615384</v>
      </c>
      <c r="AK316" s="2">
        <f t="shared" si="46"/>
        <v>162.1</v>
      </c>
      <c r="AL316" s="2">
        <f t="shared" si="47"/>
        <v>161</v>
      </c>
      <c r="AM316" s="2">
        <f t="shared" si="48"/>
        <v>164.2</v>
      </c>
      <c r="AN316" s="2">
        <f t="shared" si="49"/>
        <v>165.97142857142856</v>
      </c>
    </row>
    <row r="317" spans="1:40" x14ac:dyDescent="0.3">
      <c r="A317" t="s">
        <v>30</v>
      </c>
      <c r="B317">
        <v>2021</v>
      </c>
      <c r="C317" t="s">
        <v>44</v>
      </c>
      <c r="D317" s="2">
        <v>146.9</v>
      </c>
      <c r="E317" s="2">
        <v>199.8</v>
      </c>
      <c r="F317" s="2">
        <v>171.5</v>
      </c>
      <c r="G317" s="2">
        <v>159.1</v>
      </c>
      <c r="H317" s="2">
        <v>198.4</v>
      </c>
      <c r="I317" s="2">
        <v>153.19999999999999</v>
      </c>
      <c r="J317" s="2">
        <v>183.9</v>
      </c>
      <c r="K317" s="2">
        <v>165.4</v>
      </c>
      <c r="L317" s="2">
        <v>122.1</v>
      </c>
      <c r="M317" s="2">
        <v>170.8</v>
      </c>
      <c r="N317" s="2">
        <v>169.1</v>
      </c>
      <c r="O317" s="2">
        <v>174.3</v>
      </c>
      <c r="P317" s="2">
        <v>167.5</v>
      </c>
      <c r="Q317" s="2">
        <v>191.4</v>
      </c>
      <c r="R317" s="2">
        <v>170.4</v>
      </c>
      <c r="S317" s="2">
        <v>166</v>
      </c>
      <c r="T317" s="2">
        <v>169.8</v>
      </c>
      <c r="U317" s="2">
        <f>AVERAGE(U318,U319)</f>
        <v>164.2</v>
      </c>
      <c r="V317" s="2">
        <v>165.3</v>
      </c>
      <c r="W317" s="2">
        <v>162.9</v>
      </c>
      <c r="X317" s="2">
        <v>173.4</v>
      </c>
      <c r="Y317" s="2">
        <v>158.9</v>
      </c>
      <c r="Z317" s="2">
        <v>163.80000000000001</v>
      </c>
      <c r="AA317" s="2">
        <v>169.3</v>
      </c>
      <c r="AB317" s="2">
        <v>162.4</v>
      </c>
      <c r="AC317" s="2">
        <v>165.2</v>
      </c>
      <c r="AD317" s="2">
        <v>167.6</v>
      </c>
      <c r="AE317" s="2">
        <f t="shared" si="40"/>
        <v>2182</v>
      </c>
      <c r="AF317" s="2">
        <f t="shared" si="41"/>
        <v>506.2</v>
      </c>
      <c r="AG317" s="2">
        <f t="shared" si="42"/>
        <v>327.10000000000002</v>
      </c>
      <c r="AH317" s="2">
        <f t="shared" si="43"/>
        <v>165.3</v>
      </c>
      <c r="AI317" s="2">
        <f t="shared" si="44"/>
        <v>1184.4000000000001</v>
      </c>
      <c r="AJ317" s="2">
        <f t="shared" si="45"/>
        <v>167.84615384615384</v>
      </c>
      <c r="AK317" s="2">
        <f t="shared" si="46"/>
        <v>168.73333333333332</v>
      </c>
      <c r="AL317" s="2">
        <f t="shared" si="47"/>
        <v>163.55000000000001</v>
      </c>
      <c r="AM317" s="2">
        <f t="shared" si="48"/>
        <v>165.3</v>
      </c>
      <c r="AN317" s="2">
        <f t="shared" si="49"/>
        <v>169.20000000000002</v>
      </c>
    </row>
    <row r="318" spans="1:40" x14ac:dyDescent="0.3">
      <c r="A318" t="s">
        <v>32</v>
      </c>
      <c r="B318">
        <v>2021</v>
      </c>
      <c r="C318" t="s">
        <v>44</v>
      </c>
      <c r="D318" s="2">
        <v>151</v>
      </c>
      <c r="E318" s="2">
        <v>204.9</v>
      </c>
      <c r="F318" s="2">
        <v>175.4</v>
      </c>
      <c r="G318" s="2">
        <v>159.6</v>
      </c>
      <c r="H318" s="2">
        <v>175.8</v>
      </c>
      <c r="I318" s="2">
        <v>160.30000000000001</v>
      </c>
      <c r="J318" s="2">
        <v>229.1</v>
      </c>
      <c r="K318" s="2">
        <v>165.1</v>
      </c>
      <c r="L318" s="2">
        <v>123.1</v>
      </c>
      <c r="M318" s="2">
        <v>167.2</v>
      </c>
      <c r="N318" s="2">
        <v>156.1</v>
      </c>
      <c r="O318" s="2">
        <v>176.8</v>
      </c>
      <c r="P318" s="2">
        <v>173.5</v>
      </c>
      <c r="Q318" s="2">
        <v>197</v>
      </c>
      <c r="R318" s="2">
        <v>162.30000000000001</v>
      </c>
      <c r="S318" s="2">
        <v>145.30000000000001</v>
      </c>
      <c r="T318" s="2">
        <v>159.69999999999999</v>
      </c>
      <c r="U318" s="2">
        <v>164.2</v>
      </c>
      <c r="V318" s="2">
        <v>161.6</v>
      </c>
      <c r="W318" s="2">
        <v>155.19999999999999</v>
      </c>
      <c r="X318" s="2">
        <v>164.2</v>
      </c>
      <c r="Y318" s="2">
        <v>151.19999999999999</v>
      </c>
      <c r="Z318" s="2">
        <v>156.69999999999999</v>
      </c>
      <c r="AA318" s="2">
        <v>160.80000000000001</v>
      </c>
      <c r="AB318" s="2">
        <v>161.80000000000001</v>
      </c>
      <c r="AC318" s="2">
        <v>157.30000000000001</v>
      </c>
      <c r="AD318" s="2">
        <v>165.6</v>
      </c>
      <c r="AE318" s="2">
        <f t="shared" si="40"/>
        <v>2217.8999999999996</v>
      </c>
      <c r="AF318" s="2">
        <f t="shared" si="41"/>
        <v>467.3</v>
      </c>
      <c r="AG318" s="2">
        <f t="shared" si="42"/>
        <v>319.39999999999998</v>
      </c>
      <c r="AH318" s="2">
        <f t="shared" si="43"/>
        <v>161.6</v>
      </c>
      <c r="AI318" s="2">
        <f t="shared" si="44"/>
        <v>1149</v>
      </c>
      <c r="AJ318" s="2">
        <f t="shared" si="45"/>
        <v>170.60769230769228</v>
      </c>
      <c r="AK318" s="2">
        <f t="shared" si="46"/>
        <v>155.76666666666668</v>
      </c>
      <c r="AL318" s="2">
        <f t="shared" si="47"/>
        <v>159.69999999999999</v>
      </c>
      <c r="AM318" s="2">
        <f t="shared" si="48"/>
        <v>161.6</v>
      </c>
      <c r="AN318" s="2">
        <f t="shared" si="49"/>
        <v>164.14285714285714</v>
      </c>
    </row>
    <row r="319" spans="1:40" x14ac:dyDescent="0.3">
      <c r="A319" t="s">
        <v>33</v>
      </c>
      <c r="B319">
        <v>2021</v>
      </c>
      <c r="C319" t="s">
        <v>44</v>
      </c>
      <c r="D319" s="2">
        <v>148.19999999999999</v>
      </c>
      <c r="E319" s="2">
        <v>201.6</v>
      </c>
      <c r="F319" s="2">
        <v>173</v>
      </c>
      <c r="G319" s="2">
        <v>159.30000000000001</v>
      </c>
      <c r="H319" s="2">
        <v>190.1</v>
      </c>
      <c r="I319" s="2">
        <v>156.5</v>
      </c>
      <c r="J319" s="2">
        <v>199.2</v>
      </c>
      <c r="K319" s="2">
        <v>165.3</v>
      </c>
      <c r="L319" s="2">
        <v>122.4</v>
      </c>
      <c r="M319" s="2">
        <v>169.6</v>
      </c>
      <c r="N319" s="2">
        <v>163.69999999999999</v>
      </c>
      <c r="O319" s="2">
        <v>175.5</v>
      </c>
      <c r="P319" s="2">
        <v>169.7</v>
      </c>
      <c r="Q319" s="2">
        <v>192.9</v>
      </c>
      <c r="R319" s="2">
        <v>167.2</v>
      </c>
      <c r="S319" s="2">
        <v>157.4</v>
      </c>
      <c r="T319" s="2">
        <v>165.8</v>
      </c>
      <c r="U319" s="2">
        <v>164.2</v>
      </c>
      <c r="V319" s="2">
        <v>163.9</v>
      </c>
      <c r="W319" s="2">
        <v>159.30000000000001</v>
      </c>
      <c r="X319" s="2">
        <v>169.9</v>
      </c>
      <c r="Y319" s="2">
        <v>154.80000000000001</v>
      </c>
      <c r="Z319" s="2">
        <v>159.80000000000001</v>
      </c>
      <c r="AA319" s="2">
        <v>164.3</v>
      </c>
      <c r="AB319" s="2">
        <v>162.19999999999999</v>
      </c>
      <c r="AC319" s="2">
        <v>161.4</v>
      </c>
      <c r="AD319" s="2">
        <v>166.7</v>
      </c>
      <c r="AE319" s="2">
        <f t="shared" si="40"/>
        <v>2194.1</v>
      </c>
      <c r="AF319" s="2">
        <f t="shared" si="41"/>
        <v>490.40000000000003</v>
      </c>
      <c r="AG319" s="2">
        <f t="shared" si="42"/>
        <v>323.5</v>
      </c>
      <c r="AH319" s="2">
        <f t="shared" si="43"/>
        <v>163.9</v>
      </c>
      <c r="AI319" s="2">
        <f t="shared" si="44"/>
        <v>1165.3</v>
      </c>
      <c r="AJ319" s="2">
        <f t="shared" si="45"/>
        <v>168.77692307692308</v>
      </c>
      <c r="AK319" s="2">
        <f t="shared" si="46"/>
        <v>163.46666666666667</v>
      </c>
      <c r="AL319" s="2">
        <f t="shared" si="47"/>
        <v>161.75</v>
      </c>
      <c r="AM319" s="2">
        <f t="shared" si="48"/>
        <v>163.9</v>
      </c>
      <c r="AN319" s="2">
        <f t="shared" si="49"/>
        <v>166.47142857142856</v>
      </c>
    </row>
    <row r="320" spans="1:40" x14ac:dyDescent="0.3">
      <c r="A320" t="s">
        <v>30</v>
      </c>
      <c r="B320">
        <v>2021</v>
      </c>
      <c r="C320" t="s">
        <v>45</v>
      </c>
      <c r="D320" s="2">
        <v>147.4</v>
      </c>
      <c r="E320" s="2">
        <v>197</v>
      </c>
      <c r="F320" s="2">
        <v>176.5</v>
      </c>
      <c r="G320" s="2">
        <v>159.80000000000001</v>
      </c>
      <c r="H320" s="2">
        <v>195.8</v>
      </c>
      <c r="I320" s="2">
        <v>152</v>
      </c>
      <c r="J320" s="2">
        <v>172.3</v>
      </c>
      <c r="K320" s="2">
        <v>164.5</v>
      </c>
      <c r="L320" s="2">
        <v>120.6</v>
      </c>
      <c r="M320" s="2">
        <v>171.7</v>
      </c>
      <c r="N320" s="2">
        <v>169.7</v>
      </c>
      <c r="O320" s="2">
        <v>175.1</v>
      </c>
      <c r="P320" s="2">
        <v>165.8</v>
      </c>
      <c r="Q320" s="2">
        <v>190.8</v>
      </c>
      <c r="R320" s="2">
        <v>171.8</v>
      </c>
      <c r="S320" s="2">
        <v>167.3</v>
      </c>
      <c r="T320" s="2">
        <v>171.2</v>
      </c>
      <c r="U320" s="2">
        <f>AVERAGE(U321,U322)</f>
        <v>163.4</v>
      </c>
      <c r="V320" s="2">
        <v>165.6</v>
      </c>
      <c r="W320" s="2">
        <v>163.9</v>
      </c>
      <c r="X320" s="2">
        <v>174</v>
      </c>
      <c r="Y320" s="2">
        <v>160.1</v>
      </c>
      <c r="Z320" s="2">
        <v>164.5</v>
      </c>
      <c r="AA320" s="2">
        <v>169.7</v>
      </c>
      <c r="AB320" s="2">
        <v>162.80000000000001</v>
      </c>
      <c r="AC320" s="2">
        <v>166</v>
      </c>
      <c r="AD320" s="2">
        <v>167</v>
      </c>
      <c r="AE320" s="2">
        <f t="shared" si="40"/>
        <v>2168.1999999999998</v>
      </c>
      <c r="AF320" s="2">
        <f t="shared" si="41"/>
        <v>510.3</v>
      </c>
      <c r="AG320" s="2">
        <f t="shared" si="42"/>
        <v>327.3</v>
      </c>
      <c r="AH320" s="2">
        <f t="shared" si="43"/>
        <v>165.6</v>
      </c>
      <c r="AI320" s="2">
        <f t="shared" si="44"/>
        <v>1187.8999999999999</v>
      </c>
      <c r="AJ320" s="2">
        <f t="shared" si="45"/>
        <v>166.78461538461536</v>
      </c>
      <c r="AK320" s="2">
        <f t="shared" si="46"/>
        <v>170.1</v>
      </c>
      <c r="AL320" s="2">
        <f t="shared" si="47"/>
        <v>163.65</v>
      </c>
      <c r="AM320" s="2">
        <f t="shared" si="48"/>
        <v>165.6</v>
      </c>
      <c r="AN320" s="2">
        <f t="shared" si="49"/>
        <v>169.7</v>
      </c>
    </row>
    <row r="321" spans="1:40" x14ac:dyDescent="0.3">
      <c r="A321" t="s">
        <v>32</v>
      </c>
      <c r="B321">
        <v>2021</v>
      </c>
      <c r="C321" t="s">
        <v>45</v>
      </c>
      <c r="D321" s="2">
        <v>151.6</v>
      </c>
      <c r="E321" s="2">
        <v>202.2</v>
      </c>
      <c r="F321" s="2">
        <v>180</v>
      </c>
      <c r="G321" s="2">
        <v>160</v>
      </c>
      <c r="H321" s="2">
        <v>173.5</v>
      </c>
      <c r="I321" s="2">
        <v>158.30000000000001</v>
      </c>
      <c r="J321" s="2">
        <v>219.5</v>
      </c>
      <c r="K321" s="2">
        <v>164.2</v>
      </c>
      <c r="L321" s="2">
        <v>121.9</v>
      </c>
      <c r="M321" s="2">
        <v>168.2</v>
      </c>
      <c r="N321" s="2">
        <v>156.5</v>
      </c>
      <c r="O321" s="2">
        <v>178.2</v>
      </c>
      <c r="P321" s="2">
        <v>172.2</v>
      </c>
      <c r="Q321" s="2">
        <v>196.8</v>
      </c>
      <c r="R321" s="2">
        <v>163.30000000000001</v>
      </c>
      <c r="S321" s="2">
        <v>146.69999999999999</v>
      </c>
      <c r="T321" s="2">
        <v>160.69999999999999</v>
      </c>
      <c r="U321" s="2">
        <v>163.4</v>
      </c>
      <c r="V321" s="2">
        <v>161.69999999999999</v>
      </c>
      <c r="W321" s="2">
        <v>156</v>
      </c>
      <c r="X321" s="2">
        <v>165.1</v>
      </c>
      <c r="Y321" s="2">
        <v>151.80000000000001</v>
      </c>
      <c r="Z321" s="2">
        <v>157.6</v>
      </c>
      <c r="AA321" s="2">
        <v>160.6</v>
      </c>
      <c r="AB321" s="2">
        <v>162.4</v>
      </c>
      <c r="AC321" s="2">
        <v>157.80000000000001</v>
      </c>
      <c r="AD321" s="2">
        <v>165.2</v>
      </c>
      <c r="AE321" s="2">
        <f t="shared" si="40"/>
        <v>2206.3000000000002</v>
      </c>
      <c r="AF321" s="2">
        <f t="shared" si="41"/>
        <v>470.7</v>
      </c>
      <c r="AG321" s="2">
        <f t="shared" si="42"/>
        <v>319.39999999999998</v>
      </c>
      <c r="AH321" s="2">
        <f t="shared" si="43"/>
        <v>161.69999999999999</v>
      </c>
      <c r="AI321" s="2">
        <f t="shared" si="44"/>
        <v>1152.0999999999999</v>
      </c>
      <c r="AJ321" s="2">
        <f t="shared" si="45"/>
        <v>169.71538461538464</v>
      </c>
      <c r="AK321" s="2">
        <f t="shared" si="46"/>
        <v>156.9</v>
      </c>
      <c r="AL321" s="2">
        <f t="shared" si="47"/>
        <v>159.69999999999999</v>
      </c>
      <c r="AM321" s="2">
        <f t="shared" si="48"/>
        <v>161.69999999999999</v>
      </c>
      <c r="AN321" s="2">
        <f t="shared" si="49"/>
        <v>164.58571428571426</v>
      </c>
    </row>
    <row r="322" spans="1:40" x14ac:dyDescent="0.3">
      <c r="A322" t="s">
        <v>33</v>
      </c>
      <c r="B322">
        <v>2021</v>
      </c>
      <c r="C322" t="s">
        <v>45</v>
      </c>
      <c r="D322" s="2">
        <v>148.69999999999999</v>
      </c>
      <c r="E322" s="2">
        <v>198.8</v>
      </c>
      <c r="F322" s="2">
        <v>177.9</v>
      </c>
      <c r="G322" s="2">
        <v>159.9</v>
      </c>
      <c r="H322" s="2">
        <v>187.6</v>
      </c>
      <c r="I322" s="2">
        <v>154.9</v>
      </c>
      <c r="J322" s="2">
        <v>188.3</v>
      </c>
      <c r="K322" s="2">
        <v>164.4</v>
      </c>
      <c r="L322" s="2">
        <v>121</v>
      </c>
      <c r="M322" s="2">
        <v>170.5</v>
      </c>
      <c r="N322" s="2">
        <v>164.2</v>
      </c>
      <c r="O322" s="2">
        <v>176.5</v>
      </c>
      <c r="P322" s="2">
        <v>168.2</v>
      </c>
      <c r="Q322" s="2">
        <v>192.4</v>
      </c>
      <c r="R322" s="2">
        <v>168.5</v>
      </c>
      <c r="S322" s="2">
        <v>158.69999999999999</v>
      </c>
      <c r="T322" s="2">
        <v>167</v>
      </c>
      <c r="U322" s="2">
        <v>163.4</v>
      </c>
      <c r="V322" s="2">
        <v>164.1</v>
      </c>
      <c r="W322" s="2">
        <v>160.19999999999999</v>
      </c>
      <c r="X322" s="2">
        <v>170.6</v>
      </c>
      <c r="Y322" s="2">
        <v>155.69999999999999</v>
      </c>
      <c r="Z322" s="2">
        <v>160.6</v>
      </c>
      <c r="AA322" s="2">
        <v>164.4</v>
      </c>
      <c r="AB322" s="2">
        <v>162.6</v>
      </c>
      <c r="AC322" s="2">
        <v>162</v>
      </c>
      <c r="AD322" s="2">
        <v>166.2</v>
      </c>
      <c r="AE322" s="2">
        <f t="shared" si="40"/>
        <v>2180.9</v>
      </c>
      <c r="AF322" s="2">
        <f t="shared" si="41"/>
        <v>494.2</v>
      </c>
      <c r="AG322" s="2">
        <f t="shared" si="42"/>
        <v>323.60000000000002</v>
      </c>
      <c r="AH322" s="2">
        <f t="shared" si="43"/>
        <v>164.1</v>
      </c>
      <c r="AI322" s="2">
        <f t="shared" si="44"/>
        <v>1168.3</v>
      </c>
      <c r="AJ322" s="2">
        <f t="shared" si="45"/>
        <v>167.76153846153846</v>
      </c>
      <c r="AK322" s="2">
        <f t="shared" si="46"/>
        <v>164.73333333333332</v>
      </c>
      <c r="AL322" s="2">
        <f t="shared" si="47"/>
        <v>161.80000000000001</v>
      </c>
      <c r="AM322" s="2">
        <f t="shared" si="48"/>
        <v>164.1</v>
      </c>
      <c r="AN322" s="2">
        <f t="shared" si="49"/>
        <v>166.9</v>
      </c>
    </row>
    <row r="323" spans="1:40" x14ac:dyDescent="0.3">
      <c r="A323" t="s">
        <v>30</v>
      </c>
      <c r="B323">
        <v>2022</v>
      </c>
      <c r="C323" t="s">
        <v>31</v>
      </c>
      <c r="D323" s="2">
        <v>148.30000000000001</v>
      </c>
      <c r="E323" s="2">
        <v>196.9</v>
      </c>
      <c r="F323" s="2">
        <v>178</v>
      </c>
      <c r="G323" s="2">
        <v>160.5</v>
      </c>
      <c r="H323" s="2">
        <v>192.6</v>
      </c>
      <c r="I323" s="2">
        <v>151.19999999999999</v>
      </c>
      <c r="J323" s="2">
        <v>159.19999999999999</v>
      </c>
      <c r="K323" s="2">
        <v>164</v>
      </c>
      <c r="L323" s="2">
        <v>119.3</v>
      </c>
      <c r="M323" s="2">
        <v>173.3</v>
      </c>
      <c r="N323" s="2">
        <v>169.8</v>
      </c>
      <c r="O323" s="2">
        <v>175.8</v>
      </c>
      <c r="P323" s="2">
        <v>164.1</v>
      </c>
      <c r="Q323" s="2">
        <v>190.7</v>
      </c>
      <c r="R323" s="2">
        <v>173.2</v>
      </c>
      <c r="S323" s="2">
        <v>169.3</v>
      </c>
      <c r="T323" s="2">
        <v>172.7</v>
      </c>
      <c r="U323" s="2">
        <f>AVERAGE(U324,U325)</f>
        <v>164.5</v>
      </c>
      <c r="V323" s="2">
        <v>165.8</v>
      </c>
      <c r="W323" s="2">
        <v>164.9</v>
      </c>
      <c r="X323" s="2">
        <v>174.7</v>
      </c>
      <c r="Y323" s="2">
        <v>160.80000000000001</v>
      </c>
      <c r="Z323" s="2">
        <v>164.9</v>
      </c>
      <c r="AA323" s="2">
        <v>169.9</v>
      </c>
      <c r="AB323" s="2">
        <v>163.19999999999999</v>
      </c>
      <c r="AC323" s="2">
        <v>166.6</v>
      </c>
      <c r="AD323" s="2">
        <v>166.4</v>
      </c>
      <c r="AE323" s="2">
        <f t="shared" ref="AE323:AE373" si="73">SUM(D323:P323)</f>
        <v>2153</v>
      </c>
      <c r="AF323" s="2">
        <f t="shared" ref="AF323:AF373" si="74">SUM(R323:T323)</f>
        <v>515.20000000000005</v>
      </c>
      <c r="AG323" s="2">
        <f t="shared" ref="AG323:AG373" si="75">SUM(U323,W323)</f>
        <v>329.4</v>
      </c>
      <c r="AH323" s="2">
        <f t="shared" ref="AH323:AH373" si="76">SUM(V323)</f>
        <v>165.8</v>
      </c>
      <c r="AI323" s="2">
        <f t="shared" ref="AI323:AI373" si="77">SUM(X323:AC323,Q323)</f>
        <v>1190.8</v>
      </c>
      <c r="AJ323" s="2">
        <f t="shared" ref="AJ323:AJ373" si="78">AVERAGE(D323:P323)</f>
        <v>165.61538461538461</v>
      </c>
      <c r="AK323" s="2">
        <f t="shared" ref="AK323:AK373" si="79">AVERAGE(R323:T323)</f>
        <v>171.73333333333335</v>
      </c>
      <c r="AL323" s="2">
        <f t="shared" ref="AL323:AL373" si="80">AVERAGE(U323,W323)</f>
        <v>164.7</v>
      </c>
      <c r="AM323" s="2">
        <f t="shared" ref="AM323:AM373" si="81">AVERAGE(V323)</f>
        <v>165.8</v>
      </c>
      <c r="AN323" s="2">
        <f t="shared" ref="AN323:AN373" si="82">AVERAGE(X323:AC323,Q323)</f>
        <v>170.1142857142857</v>
      </c>
    </row>
    <row r="324" spans="1:40" x14ac:dyDescent="0.3">
      <c r="A324" t="s">
        <v>32</v>
      </c>
      <c r="B324">
        <v>2022</v>
      </c>
      <c r="C324" t="s">
        <v>31</v>
      </c>
      <c r="D324" s="2">
        <v>152.19999999999999</v>
      </c>
      <c r="E324" s="2">
        <v>202.1</v>
      </c>
      <c r="F324" s="2">
        <v>180.1</v>
      </c>
      <c r="G324" s="2">
        <v>160.4</v>
      </c>
      <c r="H324" s="2">
        <v>171</v>
      </c>
      <c r="I324" s="2">
        <v>156.5</v>
      </c>
      <c r="J324" s="2">
        <v>203.6</v>
      </c>
      <c r="K324" s="2">
        <v>163.80000000000001</v>
      </c>
      <c r="L324" s="2">
        <v>121.3</v>
      </c>
      <c r="M324" s="2">
        <v>169.8</v>
      </c>
      <c r="N324" s="2">
        <v>156.6</v>
      </c>
      <c r="O324" s="2">
        <v>179</v>
      </c>
      <c r="P324" s="2">
        <v>170.3</v>
      </c>
      <c r="Q324" s="2">
        <v>196.4</v>
      </c>
      <c r="R324" s="2">
        <v>164.7</v>
      </c>
      <c r="S324" s="2">
        <v>148.5</v>
      </c>
      <c r="T324" s="2">
        <v>162.19999999999999</v>
      </c>
      <c r="U324" s="2">
        <v>164.5</v>
      </c>
      <c r="V324" s="2">
        <v>161.6</v>
      </c>
      <c r="W324" s="2">
        <v>156.80000000000001</v>
      </c>
      <c r="X324" s="2">
        <v>166.1</v>
      </c>
      <c r="Y324" s="2">
        <v>152.69999999999999</v>
      </c>
      <c r="Z324" s="2">
        <v>158.4</v>
      </c>
      <c r="AA324" s="2">
        <v>161</v>
      </c>
      <c r="AB324" s="2">
        <v>162.80000000000001</v>
      </c>
      <c r="AC324" s="2">
        <v>158.6</v>
      </c>
      <c r="AD324" s="2">
        <v>165</v>
      </c>
      <c r="AE324" s="2">
        <f t="shared" si="73"/>
        <v>2186.6999999999998</v>
      </c>
      <c r="AF324" s="2">
        <f t="shared" si="74"/>
        <v>475.4</v>
      </c>
      <c r="AG324" s="2">
        <f t="shared" si="75"/>
        <v>321.3</v>
      </c>
      <c r="AH324" s="2">
        <f t="shared" si="76"/>
        <v>161.6</v>
      </c>
      <c r="AI324" s="2">
        <f t="shared" si="77"/>
        <v>1156</v>
      </c>
      <c r="AJ324" s="2">
        <f t="shared" si="78"/>
        <v>168.2076923076923</v>
      </c>
      <c r="AK324" s="2">
        <f t="shared" si="79"/>
        <v>158.46666666666667</v>
      </c>
      <c r="AL324" s="2">
        <f t="shared" si="80"/>
        <v>160.65</v>
      </c>
      <c r="AM324" s="2">
        <f t="shared" si="81"/>
        <v>161.6</v>
      </c>
      <c r="AN324" s="2">
        <f t="shared" si="82"/>
        <v>165.14285714285714</v>
      </c>
    </row>
    <row r="325" spans="1:40" x14ac:dyDescent="0.3">
      <c r="A325" t="s">
        <v>33</v>
      </c>
      <c r="B325">
        <v>2022</v>
      </c>
      <c r="C325" t="s">
        <v>31</v>
      </c>
      <c r="D325" s="2">
        <v>149.5</v>
      </c>
      <c r="E325" s="2">
        <v>198.7</v>
      </c>
      <c r="F325" s="2">
        <v>178.8</v>
      </c>
      <c r="G325" s="2">
        <v>160.5</v>
      </c>
      <c r="H325" s="2">
        <v>184.7</v>
      </c>
      <c r="I325" s="2">
        <v>153.69999999999999</v>
      </c>
      <c r="J325" s="2">
        <v>174.3</v>
      </c>
      <c r="K325" s="2">
        <v>163.9</v>
      </c>
      <c r="L325" s="2">
        <v>120</v>
      </c>
      <c r="M325" s="2">
        <v>172.1</v>
      </c>
      <c r="N325" s="2">
        <v>164.3</v>
      </c>
      <c r="O325" s="2">
        <v>177.3</v>
      </c>
      <c r="P325" s="2">
        <v>166.4</v>
      </c>
      <c r="Q325" s="2">
        <v>192.2</v>
      </c>
      <c r="R325" s="2">
        <v>169.9</v>
      </c>
      <c r="S325" s="2">
        <v>160.69999999999999</v>
      </c>
      <c r="T325" s="2">
        <v>168.5</v>
      </c>
      <c r="U325" s="2">
        <v>164.5</v>
      </c>
      <c r="V325" s="2">
        <v>164.2</v>
      </c>
      <c r="W325" s="2">
        <v>161.1</v>
      </c>
      <c r="X325" s="2">
        <v>171.4</v>
      </c>
      <c r="Y325" s="2">
        <v>156.5</v>
      </c>
      <c r="Z325" s="2">
        <v>161.19999999999999</v>
      </c>
      <c r="AA325" s="2">
        <v>164.7</v>
      </c>
      <c r="AB325" s="2">
        <v>163</v>
      </c>
      <c r="AC325" s="2">
        <v>162.69999999999999</v>
      </c>
      <c r="AD325" s="2">
        <v>165.7</v>
      </c>
      <c r="AE325" s="2">
        <f t="shared" si="73"/>
        <v>2164.1999999999998</v>
      </c>
      <c r="AF325" s="2">
        <f t="shared" si="74"/>
        <v>499.1</v>
      </c>
      <c r="AG325" s="2">
        <f t="shared" si="75"/>
        <v>325.60000000000002</v>
      </c>
      <c r="AH325" s="2">
        <f t="shared" si="76"/>
        <v>164.2</v>
      </c>
      <c r="AI325" s="2">
        <f t="shared" si="77"/>
        <v>1171.7</v>
      </c>
      <c r="AJ325" s="2">
        <f t="shared" si="78"/>
        <v>166.47692307692307</v>
      </c>
      <c r="AK325" s="2">
        <f t="shared" si="79"/>
        <v>166.36666666666667</v>
      </c>
      <c r="AL325" s="2">
        <f t="shared" si="80"/>
        <v>162.80000000000001</v>
      </c>
      <c r="AM325" s="2">
        <f t="shared" si="81"/>
        <v>164.2</v>
      </c>
      <c r="AN325" s="2">
        <f t="shared" si="82"/>
        <v>167.3857142857143</v>
      </c>
    </row>
    <row r="326" spans="1:40" x14ac:dyDescent="0.3">
      <c r="A326" t="s">
        <v>30</v>
      </c>
      <c r="B326">
        <v>2022</v>
      </c>
      <c r="C326" t="s">
        <v>34</v>
      </c>
      <c r="D326" s="2">
        <v>148.80000000000001</v>
      </c>
      <c r="E326" s="2">
        <v>198.1</v>
      </c>
      <c r="F326" s="2">
        <v>175.5</v>
      </c>
      <c r="G326" s="2">
        <v>160.69999999999999</v>
      </c>
      <c r="H326" s="2">
        <v>192.6</v>
      </c>
      <c r="I326" s="2">
        <v>151.4</v>
      </c>
      <c r="J326" s="2">
        <v>155.19999999999999</v>
      </c>
      <c r="K326" s="2">
        <v>163.9</v>
      </c>
      <c r="L326" s="2">
        <v>118.1</v>
      </c>
      <c r="M326" s="2">
        <v>175.4</v>
      </c>
      <c r="N326" s="2">
        <v>170.5</v>
      </c>
      <c r="O326" s="2">
        <v>176.3</v>
      </c>
      <c r="P326" s="2">
        <v>163.9</v>
      </c>
      <c r="Q326" s="2">
        <v>191.5</v>
      </c>
      <c r="R326" s="2">
        <v>174.1</v>
      </c>
      <c r="S326" s="2">
        <v>171</v>
      </c>
      <c r="T326" s="2">
        <v>173.7</v>
      </c>
      <c r="U326" s="2">
        <f>AVERAGE(U327,U328)</f>
        <v>165.5</v>
      </c>
      <c r="V326" s="2">
        <v>167.4</v>
      </c>
      <c r="W326" s="2">
        <v>165.7</v>
      </c>
      <c r="X326" s="2">
        <v>175.3</v>
      </c>
      <c r="Y326" s="2">
        <v>161.19999999999999</v>
      </c>
      <c r="Z326" s="2">
        <v>165.5</v>
      </c>
      <c r="AA326" s="2">
        <v>170.3</v>
      </c>
      <c r="AB326" s="2">
        <v>164.5</v>
      </c>
      <c r="AC326" s="2">
        <v>167.3</v>
      </c>
      <c r="AD326" s="2">
        <v>166.7</v>
      </c>
      <c r="AE326" s="2">
        <f t="shared" si="73"/>
        <v>2150.4</v>
      </c>
      <c r="AF326" s="2">
        <f t="shared" si="74"/>
        <v>518.79999999999995</v>
      </c>
      <c r="AG326" s="2">
        <f t="shared" si="75"/>
        <v>331.2</v>
      </c>
      <c r="AH326" s="2">
        <f t="shared" si="76"/>
        <v>167.4</v>
      </c>
      <c r="AI326" s="2">
        <f t="shared" si="77"/>
        <v>1195.5999999999999</v>
      </c>
      <c r="AJ326" s="2">
        <f t="shared" si="78"/>
        <v>165.41538461538462</v>
      </c>
      <c r="AK326" s="2">
        <f t="shared" si="79"/>
        <v>172.93333333333331</v>
      </c>
      <c r="AL326" s="2">
        <f t="shared" si="80"/>
        <v>165.6</v>
      </c>
      <c r="AM326" s="2">
        <f t="shared" si="81"/>
        <v>167.4</v>
      </c>
      <c r="AN326" s="2">
        <f t="shared" si="82"/>
        <v>170.79999999999998</v>
      </c>
    </row>
    <row r="327" spans="1:40" x14ac:dyDescent="0.3">
      <c r="A327" t="s">
        <v>32</v>
      </c>
      <c r="B327">
        <v>2022</v>
      </c>
      <c r="C327" t="s">
        <v>34</v>
      </c>
      <c r="D327" s="2">
        <v>152.5</v>
      </c>
      <c r="E327" s="2">
        <v>205.2</v>
      </c>
      <c r="F327" s="2">
        <v>176.4</v>
      </c>
      <c r="G327" s="2">
        <v>160.6</v>
      </c>
      <c r="H327" s="2">
        <v>171.5</v>
      </c>
      <c r="I327" s="2">
        <v>156.4</v>
      </c>
      <c r="J327" s="2">
        <v>198</v>
      </c>
      <c r="K327" s="2">
        <v>163.19999999999999</v>
      </c>
      <c r="L327" s="2">
        <v>120.6</v>
      </c>
      <c r="M327" s="2">
        <v>172.2</v>
      </c>
      <c r="N327" s="2">
        <v>156.69999999999999</v>
      </c>
      <c r="O327" s="2">
        <v>180</v>
      </c>
      <c r="P327" s="2">
        <v>170.2</v>
      </c>
      <c r="Q327" s="2">
        <v>196.5</v>
      </c>
      <c r="R327" s="2">
        <v>165.7</v>
      </c>
      <c r="S327" s="2">
        <v>150.4</v>
      </c>
      <c r="T327" s="2">
        <v>163.4</v>
      </c>
      <c r="U327" s="2">
        <v>165.5</v>
      </c>
      <c r="V327" s="2">
        <v>163</v>
      </c>
      <c r="W327" s="2">
        <v>157.4</v>
      </c>
      <c r="X327" s="2">
        <v>167.2</v>
      </c>
      <c r="Y327" s="2">
        <v>153.1</v>
      </c>
      <c r="Z327" s="2">
        <v>159.5</v>
      </c>
      <c r="AA327" s="2">
        <v>162</v>
      </c>
      <c r="AB327" s="2">
        <v>164.2</v>
      </c>
      <c r="AC327" s="2">
        <v>159.4</v>
      </c>
      <c r="AD327" s="2">
        <v>165.5</v>
      </c>
      <c r="AE327" s="2">
        <f t="shared" si="73"/>
        <v>2183.5</v>
      </c>
      <c r="AF327" s="2">
        <f t="shared" si="74"/>
        <v>479.5</v>
      </c>
      <c r="AG327" s="2">
        <f t="shared" si="75"/>
        <v>322.89999999999998</v>
      </c>
      <c r="AH327" s="2">
        <f t="shared" si="76"/>
        <v>163</v>
      </c>
      <c r="AI327" s="2">
        <f t="shared" si="77"/>
        <v>1161.9000000000001</v>
      </c>
      <c r="AJ327" s="2">
        <f t="shared" si="78"/>
        <v>167.96153846153845</v>
      </c>
      <c r="AK327" s="2">
        <f t="shared" si="79"/>
        <v>159.83333333333334</v>
      </c>
      <c r="AL327" s="2">
        <f t="shared" si="80"/>
        <v>161.44999999999999</v>
      </c>
      <c r="AM327" s="2">
        <f t="shared" si="81"/>
        <v>163</v>
      </c>
      <c r="AN327" s="2">
        <f t="shared" si="82"/>
        <v>165.98571428571429</v>
      </c>
    </row>
    <row r="328" spans="1:40" x14ac:dyDescent="0.3">
      <c r="A328" t="s">
        <v>33</v>
      </c>
      <c r="B328">
        <v>2022</v>
      </c>
      <c r="C328" t="s">
        <v>34</v>
      </c>
      <c r="D328" s="2">
        <v>150</v>
      </c>
      <c r="E328" s="2">
        <v>200.6</v>
      </c>
      <c r="F328" s="2">
        <v>175.8</v>
      </c>
      <c r="G328" s="2">
        <v>160.69999999999999</v>
      </c>
      <c r="H328" s="2">
        <v>184.9</v>
      </c>
      <c r="I328" s="2">
        <v>153.69999999999999</v>
      </c>
      <c r="J328" s="2">
        <v>169.7</v>
      </c>
      <c r="K328" s="2">
        <v>163.69999999999999</v>
      </c>
      <c r="L328" s="2">
        <v>118.9</v>
      </c>
      <c r="M328" s="2">
        <v>174.3</v>
      </c>
      <c r="N328" s="2">
        <v>164.7</v>
      </c>
      <c r="O328" s="2">
        <v>178</v>
      </c>
      <c r="P328" s="2">
        <v>166.2</v>
      </c>
      <c r="Q328" s="2">
        <v>192.8</v>
      </c>
      <c r="R328" s="2">
        <v>170.8</v>
      </c>
      <c r="S328" s="2">
        <v>162.4</v>
      </c>
      <c r="T328" s="2">
        <v>169.6</v>
      </c>
      <c r="U328" s="2">
        <v>165.5</v>
      </c>
      <c r="V328" s="2">
        <v>165.7</v>
      </c>
      <c r="W328" s="2">
        <v>161.80000000000001</v>
      </c>
      <c r="X328" s="2">
        <v>172.2</v>
      </c>
      <c r="Y328" s="2">
        <v>156.9</v>
      </c>
      <c r="Z328" s="2">
        <v>162.1</v>
      </c>
      <c r="AA328" s="2">
        <v>165.4</v>
      </c>
      <c r="AB328" s="2">
        <v>164.4</v>
      </c>
      <c r="AC328" s="2">
        <v>163.5</v>
      </c>
      <c r="AD328" s="2">
        <v>166.1</v>
      </c>
      <c r="AE328" s="2">
        <f t="shared" si="73"/>
        <v>2161.2000000000003</v>
      </c>
      <c r="AF328" s="2">
        <f t="shared" si="74"/>
        <v>502.80000000000007</v>
      </c>
      <c r="AG328" s="2">
        <f t="shared" si="75"/>
        <v>327.3</v>
      </c>
      <c r="AH328" s="2">
        <f t="shared" si="76"/>
        <v>165.7</v>
      </c>
      <c r="AI328" s="2">
        <f t="shared" si="77"/>
        <v>1177.3</v>
      </c>
      <c r="AJ328" s="2">
        <f t="shared" si="78"/>
        <v>166.24615384615387</v>
      </c>
      <c r="AK328" s="2">
        <f t="shared" si="79"/>
        <v>167.60000000000002</v>
      </c>
      <c r="AL328" s="2">
        <f t="shared" si="80"/>
        <v>163.65</v>
      </c>
      <c r="AM328" s="2">
        <f t="shared" si="81"/>
        <v>165.7</v>
      </c>
      <c r="AN328" s="2">
        <f t="shared" si="82"/>
        <v>168.18571428571428</v>
      </c>
    </row>
    <row r="329" spans="1:40" x14ac:dyDescent="0.3">
      <c r="A329" t="s">
        <v>30</v>
      </c>
      <c r="B329">
        <v>2022</v>
      </c>
      <c r="C329" t="s">
        <v>35</v>
      </c>
      <c r="D329" s="2">
        <v>150.19999999999999</v>
      </c>
      <c r="E329" s="2">
        <v>208</v>
      </c>
      <c r="F329" s="2">
        <v>167.9</v>
      </c>
      <c r="G329" s="2">
        <v>162</v>
      </c>
      <c r="H329" s="2">
        <v>203.1</v>
      </c>
      <c r="I329" s="2">
        <v>155.9</v>
      </c>
      <c r="J329" s="2">
        <v>155.80000000000001</v>
      </c>
      <c r="K329" s="2">
        <v>164.2</v>
      </c>
      <c r="L329" s="2">
        <v>118.1</v>
      </c>
      <c r="M329" s="2">
        <v>178.7</v>
      </c>
      <c r="N329" s="2">
        <v>171.2</v>
      </c>
      <c r="O329" s="2">
        <v>177.4</v>
      </c>
      <c r="P329" s="2">
        <v>166.6</v>
      </c>
      <c r="Q329" s="2">
        <v>192.3</v>
      </c>
      <c r="R329" s="2">
        <v>175.4</v>
      </c>
      <c r="S329" s="2">
        <v>173.2</v>
      </c>
      <c r="T329" s="2">
        <v>175.1</v>
      </c>
      <c r="U329" s="2">
        <f>AVERAGE(U330,U331)</f>
        <v>165.3</v>
      </c>
      <c r="V329" s="2">
        <v>168.9</v>
      </c>
      <c r="W329" s="2">
        <v>166.5</v>
      </c>
      <c r="X329" s="2">
        <v>176</v>
      </c>
      <c r="Y329" s="2">
        <v>162</v>
      </c>
      <c r="Z329" s="2">
        <v>166.6</v>
      </c>
      <c r="AA329" s="2">
        <v>170.6</v>
      </c>
      <c r="AB329" s="2">
        <v>167.4</v>
      </c>
      <c r="AC329" s="2">
        <v>168.3</v>
      </c>
      <c r="AD329" s="2">
        <v>168.7</v>
      </c>
      <c r="AE329" s="2">
        <f t="shared" si="73"/>
        <v>2179.1000000000004</v>
      </c>
      <c r="AF329" s="2">
        <f t="shared" si="74"/>
        <v>523.70000000000005</v>
      </c>
      <c r="AG329" s="2">
        <f t="shared" si="75"/>
        <v>331.8</v>
      </c>
      <c r="AH329" s="2">
        <f t="shared" si="76"/>
        <v>168.9</v>
      </c>
      <c r="AI329" s="2">
        <f t="shared" si="77"/>
        <v>1203.2</v>
      </c>
      <c r="AJ329" s="2">
        <f t="shared" si="78"/>
        <v>167.62307692307695</v>
      </c>
      <c r="AK329" s="2">
        <f t="shared" si="79"/>
        <v>174.56666666666669</v>
      </c>
      <c r="AL329" s="2">
        <f t="shared" si="80"/>
        <v>165.9</v>
      </c>
      <c r="AM329" s="2">
        <f t="shared" si="81"/>
        <v>168.9</v>
      </c>
      <c r="AN329" s="2">
        <f t="shared" si="82"/>
        <v>171.8857142857143</v>
      </c>
    </row>
    <row r="330" spans="1:40" x14ac:dyDescent="0.3">
      <c r="A330" t="s">
        <v>32</v>
      </c>
      <c r="B330">
        <v>2022</v>
      </c>
      <c r="C330" t="s">
        <v>35</v>
      </c>
      <c r="D330" s="2">
        <v>153.69999999999999</v>
      </c>
      <c r="E330" s="2">
        <v>215.8</v>
      </c>
      <c r="F330" s="2">
        <v>167.7</v>
      </c>
      <c r="G330" s="2">
        <v>162.6</v>
      </c>
      <c r="H330" s="2">
        <v>180</v>
      </c>
      <c r="I330" s="2">
        <v>159.6</v>
      </c>
      <c r="J330" s="2">
        <v>188.4</v>
      </c>
      <c r="K330" s="2">
        <v>163.4</v>
      </c>
      <c r="L330" s="2">
        <v>120.3</v>
      </c>
      <c r="M330" s="2">
        <v>174.7</v>
      </c>
      <c r="N330" s="2">
        <v>157.1</v>
      </c>
      <c r="O330" s="2">
        <v>181.5</v>
      </c>
      <c r="P330" s="2">
        <v>171.5</v>
      </c>
      <c r="Q330" s="2">
        <v>197.5</v>
      </c>
      <c r="R330" s="2">
        <v>167.1</v>
      </c>
      <c r="S330" s="2">
        <v>152.6</v>
      </c>
      <c r="T330" s="2">
        <v>164.9</v>
      </c>
      <c r="U330" s="2">
        <v>165.3</v>
      </c>
      <c r="V330" s="2">
        <v>164.5</v>
      </c>
      <c r="W330" s="2">
        <v>158.6</v>
      </c>
      <c r="X330" s="2">
        <v>168.2</v>
      </c>
      <c r="Y330" s="2">
        <v>154.19999999999999</v>
      </c>
      <c r="Z330" s="2">
        <v>160.80000000000001</v>
      </c>
      <c r="AA330" s="2">
        <v>162.69999999999999</v>
      </c>
      <c r="AB330" s="2">
        <v>166.8</v>
      </c>
      <c r="AC330" s="2">
        <v>160.6</v>
      </c>
      <c r="AD330" s="2">
        <v>166.5</v>
      </c>
      <c r="AE330" s="2">
        <f t="shared" si="73"/>
        <v>2196.3000000000002</v>
      </c>
      <c r="AF330" s="2">
        <f t="shared" si="74"/>
        <v>484.6</v>
      </c>
      <c r="AG330" s="2">
        <f t="shared" si="75"/>
        <v>323.89999999999998</v>
      </c>
      <c r="AH330" s="2">
        <f t="shared" si="76"/>
        <v>164.5</v>
      </c>
      <c r="AI330" s="2">
        <f t="shared" si="77"/>
        <v>1170.8000000000002</v>
      </c>
      <c r="AJ330" s="2">
        <f t="shared" si="78"/>
        <v>168.94615384615386</v>
      </c>
      <c r="AK330" s="2">
        <f t="shared" si="79"/>
        <v>161.53333333333333</v>
      </c>
      <c r="AL330" s="2">
        <f t="shared" si="80"/>
        <v>161.94999999999999</v>
      </c>
      <c r="AM330" s="2">
        <f t="shared" si="81"/>
        <v>164.5</v>
      </c>
      <c r="AN330" s="2">
        <f t="shared" si="82"/>
        <v>167.2571428571429</v>
      </c>
    </row>
    <row r="331" spans="1:40" x14ac:dyDescent="0.3">
      <c r="A331" t="s">
        <v>33</v>
      </c>
      <c r="B331">
        <v>2022</v>
      </c>
      <c r="C331" t="s">
        <v>35</v>
      </c>
      <c r="D331" s="2">
        <v>151.30000000000001</v>
      </c>
      <c r="E331" s="2">
        <v>210.7</v>
      </c>
      <c r="F331" s="2">
        <v>167.8</v>
      </c>
      <c r="G331" s="2">
        <v>162.19999999999999</v>
      </c>
      <c r="H331" s="2">
        <v>194.6</v>
      </c>
      <c r="I331" s="2">
        <v>157.6</v>
      </c>
      <c r="J331" s="2">
        <v>166.9</v>
      </c>
      <c r="K331" s="2">
        <v>163.9</v>
      </c>
      <c r="L331" s="2">
        <v>118.8</v>
      </c>
      <c r="M331" s="2">
        <v>177.4</v>
      </c>
      <c r="N331" s="2">
        <v>165.3</v>
      </c>
      <c r="O331" s="2">
        <v>179.3</v>
      </c>
      <c r="P331" s="2">
        <v>168.4</v>
      </c>
      <c r="Q331" s="2">
        <v>193.7</v>
      </c>
      <c r="R331" s="2">
        <v>172.1</v>
      </c>
      <c r="S331" s="2">
        <v>164.6</v>
      </c>
      <c r="T331" s="2">
        <v>171.1</v>
      </c>
      <c r="U331" s="2">
        <v>165.3</v>
      </c>
      <c r="V331" s="2">
        <v>167.2</v>
      </c>
      <c r="W331" s="2">
        <v>162.80000000000001</v>
      </c>
      <c r="X331" s="2">
        <v>173</v>
      </c>
      <c r="Y331" s="2">
        <v>157.9</v>
      </c>
      <c r="Z331" s="2">
        <v>163.30000000000001</v>
      </c>
      <c r="AA331" s="2">
        <v>166</v>
      </c>
      <c r="AB331" s="2">
        <v>167.2</v>
      </c>
      <c r="AC331" s="2">
        <v>164.6</v>
      </c>
      <c r="AD331" s="2">
        <v>167.7</v>
      </c>
      <c r="AE331" s="2">
        <f t="shared" si="73"/>
        <v>2184.2000000000003</v>
      </c>
      <c r="AF331" s="2">
        <f t="shared" si="74"/>
        <v>507.79999999999995</v>
      </c>
      <c r="AG331" s="2">
        <f t="shared" si="75"/>
        <v>328.1</v>
      </c>
      <c r="AH331" s="2">
        <f t="shared" si="76"/>
        <v>167.2</v>
      </c>
      <c r="AI331" s="2">
        <f t="shared" si="77"/>
        <v>1185.7</v>
      </c>
      <c r="AJ331" s="2">
        <f t="shared" si="78"/>
        <v>168.01538461538465</v>
      </c>
      <c r="AK331" s="2">
        <f t="shared" si="79"/>
        <v>169.26666666666665</v>
      </c>
      <c r="AL331" s="2">
        <f t="shared" si="80"/>
        <v>164.05</v>
      </c>
      <c r="AM331" s="2">
        <f t="shared" si="81"/>
        <v>167.2</v>
      </c>
      <c r="AN331" s="2">
        <f t="shared" si="82"/>
        <v>169.3857142857143</v>
      </c>
    </row>
    <row r="332" spans="1:40" x14ac:dyDescent="0.3">
      <c r="A332" t="s">
        <v>30</v>
      </c>
      <c r="B332">
        <v>2022</v>
      </c>
      <c r="C332" t="s">
        <v>36</v>
      </c>
      <c r="D332" s="2">
        <v>151.80000000000001</v>
      </c>
      <c r="E332" s="2">
        <v>209.7</v>
      </c>
      <c r="F332" s="2">
        <v>164.5</v>
      </c>
      <c r="G332" s="2">
        <v>163.80000000000001</v>
      </c>
      <c r="H332" s="2">
        <v>207.4</v>
      </c>
      <c r="I332" s="2">
        <v>169.7</v>
      </c>
      <c r="J332" s="2">
        <v>153.6</v>
      </c>
      <c r="K332" s="2">
        <v>165.1</v>
      </c>
      <c r="L332" s="2">
        <v>118.2</v>
      </c>
      <c r="M332" s="2">
        <v>182.9</v>
      </c>
      <c r="N332" s="2">
        <v>172.4</v>
      </c>
      <c r="O332" s="2">
        <v>178.9</v>
      </c>
      <c r="P332" s="2">
        <v>168.6</v>
      </c>
      <c r="Q332" s="2">
        <v>192.8</v>
      </c>
      <c r="R332" s="2">
        <v>177.5</v>
      </c>
      <c r="S332" s="2">
        <v>175.1</v>
      </c>
      <c r="T332" s="2">
        <v>177.1</v>
      </c>
      <c r="U332" s="2">
        <f>AVERAGE(U333,U334)</f>
        <v>167</v>
      </c>
      <c r="V332" s="2">
        <v>173.3</v>
      </c>
      <c r="W332" s="2">
        <v>167.7</v>
      </c>
      <c r="X332" s="2">
        <v>177</v>
      </c>
      <c r="Y332" s="2">
        <v>166.2</v>
      </c>
      <c r="Z332" s="2">
        <v>167.2</v>
      </c>
      <c r="AA332" s="2">
        <v>170.9</v>
      </c>
      <c r="AB332" s="2">
        <v>169</v>
      </c>
      <c r="AC332" s="2">
        <v>170.2</v>
      </c>
      <c r="AD332" s="2">
        <v>170.8</v>
      </c>
      <c r="AE332" s="2">
        <f t="shared" si="73"/>
        <v>2206.6</v>
      </c>
      <c r="AF332" s="2">
        <f t="shared" si="74"/>
        <v>529.70000000000005</v>
      </c>
      <c r="AG332" s="2">
        <f t="shared" si="75"/>
        <v>334.7</v>
      </c>
      <c r="AH332" s="2">
        <f t="shared" si="76"/>
        <v>173.3</v>
      </c>
      <c r="AI332" s="2">
        <f t="shared" si="77"/>
        <v>1213.3</v>
      </c>
      <c r="AJ332" s="2">
        <f t="shared" si="78"/>
        <v>169.73846153846154</v>
      </c>
      <c r="AK332" s="2">
        <f t="shared" si="79"/>
        <v>176.56666666666669</v>
      </c>
      <c r="AL332" s="2">
        <f t="shared" si="80"/>
        <v>167.35</v>
      </c>
      <c r="AM332" s="2">
        <f t="shared" si="81"/>
        <v>173.3</v>
      </c>
      <c r="AN332" s="2">
        <f t="shared" si="82"/>
        <v>173.32857142857142</v>
      </c>
    </row>
    <row r="333" spans="1:40" x14ac:dyDescent="0.3">
      <c r="A333" t="s">
        <v>32</v>
      </c>
      <c r="B333">
        <v>2022</v>
      </c>
      <c r="C333" t="s">
        <v>36</v>
      </c>
      <c r="D333" s="2">
        <v>155.4</v>
      </c>
      <c r="E333" s="2">
        <v>215.8</v>
      </c>
      <c r="F333" s="2">
        <v>164.6</v>
      </c>
      <c r="G333" s="2">
        <v>164.2</v>
      </c>
      <c r="H333" s="2">
        <v>186</v>
      </c>
      <c r="I333" s="2">
        <v>175.9</v>
      </c>
      <c r="J333" s="2">
        <v>190.7</v>
      </c>
      <c r="K333" s="2">
        <v>164</v>
      </c>
      <c r="L333" s="2">
        <v>120.5</v>
      </c>
      <c r="M333" s="2">
        <v>178</v>
      </c>
      <c r="N333" s="2">
        <v>157.5</v>
      </c>
      <c r="O333" s="2">
        <v>183.3</v>
      </c>
      <c r="P333" s="2">
        <v>174.5</v>
      </c>
      <c r="Q333" s="2">
        <v>197.1</v>
      </c>
      <c r="R333" s="2">
        <v>168.4</v>
      </c>
      <c r="S333" s="2">
        <v>154.5</v>
      </c>
      <c r="T333" s="2">
        <v>166.3</v>
      </c>
      <c r="U333" s="2">
        <v>167</v>
      </c>
      <c r="V333" s="2">
        <v>170.5</v>
      </c>
      <c r="W333" s="2">
        <v>159.80000000000001</v>
      </c>
      <c r="X333" s="2">
        <v>169</v>
      </c>
      <c r="Y333" s="2">
        <v>159.30000000000001</v>
      </c>
      <c r="Z333" s="2">
        <v>162.19999999999999</v>
      </c>
      <c r="AA333" s="2">
        <v>164</v>
      </c>
      <c r="AB333" s="2">
        <v>168.4</v>
      </c>
      <c r="AC333" s="2">
        <v>163.1</v>
      </c>
      <c r="AD333" s="2">
        <v>169.2</v>
      </c>
      <c r="AE333" s="2">
        <f t="shared" si="73"/>
        <v>2230.4</v>
      </c>
      <c r="AF333" s="2">
        <f t="shared" si="74"/>
        <v>489.2</v>
      </c>
      <c r="AG333" s="2">
        <f t="shared" si="75"/>
        <v>326.8</v>
      </c>
      <c r="AH333" s="2">
        <f t="shared" si="76"/>
        <v>170.5</v>
      </c>
      <c r="AI333" s="2">
        <f t="shared" si="77"/>
        <v>1183.0999999999999</v>
      </c>
      <c r="AJ333" s="2">
        <f t="shared" si="78"/>
        <v>171.56923076923078</v>
      </c>
      <c r="AK333" s="2">
        <f t="shared" si="79"/>
        <v>163.06666666666666</v>
      </c>
      <c r="AL333" s="2">
        <f t="shared" si="80"/>
        <v>163.4</v>
      </c>
      <c r="AM333" s="2">
        <f t="shared" si="81"/>
        <v>170.5</v>
      </c>
      <c r="AN333" s="2">
        <f t="shared" si="82"/>
        <v>169.01428571428571</v>
      </c>
    </row>
    <row r="334" spans="1:40" x14ac:dyDescent="0.3">
      <c r="A334" t="s">
        <v>33</v>
      </c>
      <c r="B334">
        <v>2022</v>
      </c>
      <c r="C334" t="s">
        <v>36</v>
      </c>
      <c r="D334" s="2">
        <v>152.9</v>
      </c>
      <c r="E334" s="2">
        <v>211.8</v>
      </c>
      <c r="F334" s="2">
        <v>164.5</v>
      </c>
      <c r="G334" s="2">
        <v>163.9</v>
      </c>
      <c r="H334" s="2">
        <v>199.5</v>
      </c>
      <c r="I334" s="2">
        <v>172.6</v>
      </c>
      <c r="J334" s="2">
        <v>166.2</v>
      </c>
      <c r="K334" s="2">
        <v>164.7</v>
      </c>
      <c r="L334" s="2">
        <v>119</v>
      </c>
      <c r="M334" s="2">
        <v>181.3</v>
      </c>
      <c r="N334" s="2">
        <v>166.2</v>
      </c>
      <c r="O334" s="2">
        <v>180.9</v>
      </c>
      <c r="P334" s="2">
        <v>170.8</v>
      </c>
      <c r="Q334" s="2">
        <v>193.9</v>
      </c>
      <c r="R334" s="2">
        <v>173.9</v>
      </c>
      <c r="S334" s="2">
        <v>166.5</v>
      </c>
      <c r="T334" s="2">
        <v>172.8</v>
      </c>
      <c r="U334" s="2">
        <v>167</v>
      </c>
      <c r="V334" s="2">
        <v>172.2</v>
      </c>
      <c r="W334" s="2">
        <v>164</v>
      </c>
      <c r="X334" s="2">
        <v>174</v>
      </c>
      <c r="Y334" s="2">
        <v>162.6</v>
      </c>
      <c r="Z334" s="2">
        <v>164.4</v>
      </c>
      <c r="AA334" s="2">
        <v>166.9</v>
      </c>
      <c r="AB334" s="2">
        <v>168.8</v>
      </c>
      <c r="AC334" s="2">
        <v>166.8</v>
      </c>
      <c r="AD334" s="2">
        <v>170.1</v>
      </c>
      <c r="AE334" s="2">
        <f t="shared" si="73"/>
        <v>2214.3000000000002</v>
      </c>
      <c r="AF334" s="2">
        <f t="shared" si="74"/>
        <v>513.20000000000005</v>
      </c>
      <c r="AG334" s="2">
        <f t="shared" si="75"/>
        <v>331</v>
      </c>
      <c r="AH334" s="2">
        <f t="shared" si="76"/>
        <v>172.2</v>
      </c>
      <c r="AI334" s="2">
        <f t="shared" si="77"/>
        <v>1197.4000000000001</v>
      </c>
      <c r="AJ334" s="2">
        <f t="shared" si="78"/>
        <v>170.33076923076925</v>
      </c>
      <c r="AK334" s="2">
        <f t="shared" si="79"/>
        <v>171.06666666666669</v>
      </c>
      <c r="AL334" s="2">
        <f t="shared" si="80"/>
        <v>165.5</v>
      </c>
      <c r="AM334" s="2">
        <f t="shared" si="81"/>
        <v>172.2</v>
      </c>
      <c r="AN334" s="2">
        <f t="shared" si="82"/>
        <v>171.05714285714288</v>
      </c>
    </row>
    <row r="335" spans="1:40" x14ac:dyDescent="0.3">
      <c r="A335" t="s">
        <v>30</v>
      </c>
      <c r="B335">
        <v>2022</v>
      </c>
      <c r="C335" t="s">
        <v>37</v>
      </c>
      <c r="D335" s="2">
        <v>152.9</v>
      </c>
      <c r="E335" s="2">
        <v>214.7</v>
      </c>
      <c r="F335" s="2">
        <v>161.4</v>
      </c>
      <c r="G335" s="2">
        <v>164.6</v>
      </c>
      <c r="H335" s="2">
        <v>209.9</v>
      </c>
      <c r="I335" s="2">
        <v>168</v>
      </c>
      <c r="J335" s="2">
        <v>160.4</v>
      </c>
      <c r="K335" s="2">
        <v>165</v>
      </c>
      <c r="L335" s="2">
        <v>118.9</v>
      </c>
      <c r="M335" s="2">
        <v>186.6</v>
      </c>
      <c r="N335" s="2">
        <v>173.2</v>
      </c>
      <c r="O335" s="2">
        <v>180.4</v>
      </c>
      <c r="P335" s="2">
        <v>170.8</v>
      </c>
      <c r="Q335" s="2">
        <v>192.9</v>
      </c>
      <c r="R335" s="2">
        <v>179.3</v>
      </c>
      <c r="S335" s="2">
        <v>177.2</v>
      </c>
      <c r="T335" s="2">
        <v>179</v>
      </c>
      <c r="U335" s="2">
        <f>AVERAGE(U336,U337)</f>
        <v>167.5</v>
      </c>
      <c r="V335" s="2">
        <v>175.3</v>
      </c>
      <c r="W335" s="2">
        <v>168.9</v>
      </c>
      <c r="X335" s="2">
        <v>177.7</v>
      </c>
      <c r="Y335" s="2">
        <v>167.1</v>
      </c>
      <c r="Z335" s="2">
        <v>167.6</v>
      </c>
      <c r="AA335" s="2">
        <v>171.8</v>
      </c>
      <c r="AB335" s="2">
        <v>168.5</v>
      </c>
      <c r="AC335" s="2">
        <v>170.9</v>
      </c>
      <c r="AD335" s="2">
        <v>172.5</v>
      </c>
      <c r="AE335" s="2">
        <f t="shared" si="73"/>
        <v>2226.8000000000002</v>
      </c>
      <c r="AF335" s="2">
        <f t="shared" si="74"/>
        <v>535.5</v>
      </c>
      <c r="AG335" s="2">
        <f t="shared" si="75"/>
        <v>336.4</v>
      </c>
      <c r="AH335" s="2">
        <f t="shared" si="76"/>
        <v>175.3</v>
      </c>
      <c r="AI335" s="2">
        <f t="shared" si="77"/>
        <v>1216.5</v>
      </c>
      <c r="AJ335" s="2">
        <f t="shared" si="78"/>
        <v>171.2923076923077</v>
      </c>
      <c r="AK335" s="2">
        <f t="shared" si="79"/>
        <v>178.5</v>
      </c>
      <c r="AL335" s="2">
        <f t="shared" si="80"/>
        <v>168.2</v>
      </c>
      <c r="AM335" s="2">
        <f t="shared" si="81"/>
        <v>175.3</v>
      </c>
      <c r="AN335" s="2">
        <f t="shared" si="82"/>
        <v>173.78571428571428</v>
      </c>
    </row>
    <row r="336" spans="1:40" x14ac:dyDescent="0.3">
      <c r="A336" t="s">
        <v>32</v>
      </c>
      <c r="B336">
        <v>2022</v>
      </c>
      <c r="C336" t="s">
        <v>37</v>
      </c>
      <c r="D336" s="2">
        <v>156.69999999999999</v>
      </c>
      <c r="E336" s="2">
        <v>221.2</v>
      </c>
      <c r="F336" s="2">
        <v>164.1</v>
      </c>
      <c r="G336" s="2">
        <v>165.4</v>
      </c>
      <c r="H336" s="2">
        <v>189.5</v>
      </c>
      <c r="I336" s="2">
        <v>174.5</v>
      </c>
      <c r="J336" s="2">
        <v>203.2</v>
      </c>
      <c r="K336" s="2">
        <v>164.1</v>
      </c>
      <c r="L336" s="2">
        <v>121.2</v>
      </c>
      <c r="M336" s="2">
        <v>181.4</v>
      </c>
      <c r="N336" s="2">
        <v>158.5</v>
      </c>
      <c r="O336" s="2">
        <v>184.9</v>
      </c>
      <c r="P336" s="2">
        <v>177.5</v>
      </c>
      <c r="Q336" s="2">
        <v>197.5</v>
      </c>
      <c r="R336" s="2">
        <v>170</v>
      </c>
      <c r="S336" s="2">
        <v>155.9</v>
      </c>
      <c r="T336" s="2">
        <v>167.8</v>
      </c>
      <c r="U336" s="2">
        <v>167.5</v>
      </c>
      <c r="V336" s="2">
        <v>173.5</v>
      </c>
      <c r="W336" s="2">
        <v>161.1</v>
      </c>
      <c r="X336" s="2">
        <v>170.1</v>
      </c>
      <c r="Y336" s="2">
        <v>159.4</v>
      </c>
      <c r="Z336" s="2">
        <v>163.19999999999999</v>
      </c>
      <c r="AA336" s="2">
        <v>165.2</v>
      </c>
      <c r="AB336" s="2">
        <v>168.2</v>
      </c>
      <c r="AC336" s="2">
        <v>163.80000000000001</v>
      </c>
      <c r="AD336" s="2">
        <v>170.8</v>
      </c>
      <c r="AE336" s="2">
        <f t="shared" si="73"/>
        <v>2262.2000000000003</v>
      </c>
      <c r="AF336" s="2">
        <f t="shared" si="74"/>
        <v>493.7</v>
      </c>
      <c r="AG336" s="2">
        <f t="shared" si="75"/>
        <v>328.6</v>
      </c>
      <c r="AH336" s="2">
        <f t="shared" si="76"/>
        <v>173.5</v>
      </c>
      <c r="AI336" s="2">
        <f t="shared" si="77"/>
        <v>1187.3999999999999</v>
      </c>
      <c r="AJ336" s="2">
        <f t="shared" si="78"/>
        <v>174.01538461538465</v>
      </c>
      <c r="AK336" s="2">
        <f t="shared" si="79"/>
        <v>164.56666666666666</v>
      </c>
      <c r="AL336" s="2">
        <f t="shared" si="80"/>
        <v>164.3</v>
      </c>
      <c r="AM336" s="2">
        <f t="shared" si="81"/>
        <v>173.5</v>
      </c>
      <c r="AN336" s="2">
        <f t="shared" si="82"/>
        <v>169.62857142857141</v>
      </c>
    </row>
    <row r="337" spans="1:40" x14ac:dyDescent="0.3">
      <c r="A337" t="s">
        <v>33</v>
      </c>
      <c r="B337">
        <v>2022</v>
      </c>
      <c r="C337" t="s">
        <v>37</v>
      </c>
      <c r="D337" s="2">
        <v>154.1</v>
      </c>
      <c r="E337" s="2">
        <v>217</v>
      </c>
      <c r="F337" s="2">
        <v>162.4</v>
      </c>
      <c r="G337" s="2">
        <v>164.9</v>
      </c>
      <c r="H337" s="2">
        <v>202.4</v>
      </c>
      <c r="I337" s="2">
        <v>171</v>
      </c>
      <c r="J337" s="2">
        <v>174.9</v>
      </c>
      <c r="K337" s="2">
        <v>164.7</v>
      </c>
      <c r="L337" s="2">
        <v>119.7</v>
      </c>
      <c r="M337" s="2">
        <v>184.9</v>
      </c>
      <c r="N337" s="2">
        <v>167.1</v>
      </c>
      <c r="O337" s="2">
        <v>182.5</v>
      </c>
      <c r="P337" s="2">
        <v>173.3</v>
      </c>
      <c r="Q337" s="2">
        <v>194.1</v>
      </c>
      <c r="R337" s="2">
        <v>175.6</v>
      </c>
      <c r="S337" s="2">
        <v>168.4</v>
      </c>
      <c r="T337" s="2">
        <v>174.6</v>
      </c>
      <c r="U337" s="2">
        <v>167.5</v>
      </c>
      <c r="V337" s="2">
        <v>174.6</v>
      </c>
      <c r="W337" s="2">
        <v>165.2</v>
      </c>
      <c r="X337" s="2">
        <v>174.8</v>
      </c>
      <c r="Y337" s="2">
        <v>163</v>
      </c>
      <c r="Z337" s="2">
        <v>165.1</v>
      </c>
      <c r="AA337" s="2">
        <v>167.9</v>
      </c>
      <c r="AB337" s="2">
        <v>168.4</v>
      </c>
      <c r="AC337" s="2">
        <v>167.5</v>
      </c>
      <c r="AD337" s="2">
        <v>171.7</v>
      </c>
      <c r="AE337" s="2">
        <f t="shared" si="73"/>
        <v>2238.9000000000005</v>
      </c>
      <c r="AF337" s="2">
        <f t="shared" si="74"/>
        <v>518.6</v>
      </c>
      <c r="AG337" s="2">
        <f t="shared" si="75"/>
        <v>332.7</v>
      </c>
      <c r="AH337" s="2">
        <f t="shared" si="76"/>
        <v>174.6</v>
      </c>
      <c r="AI337" s="2">
        <f t="shared" si="77"/>
        <v>1200.8</v>
      </c>
      <c r="AJ337" s="2">
        <f t="shared" si="78"/>
        <v>172.22307692307697</v>
      </c>
      <c r="AK337" s="2">
        <f t="shared" si="79"/>
        <v>172.86666666666667</v>
      </c>
      <c r="AL337" s="2">
        <f t="shared" si="80"/>
        <v>166.35</v>
      </c>
      <c r="AM337" s="2">
        <f t="shared" si="81"/>
        <v>174.6</v>
      </c>
      <c r="AN337" s="2">
        <f t="shared" si="82"/>
        <v>171.54285714285714</v>
      </c>
    </row>
    <row r="338" spans="1:40" x14ac:dyDescent="0.3">
      <c r="A338" t="s">
        <v>30</v>
      </c>
      <c r="B338">
        <v>2022</v>
      </c>
      <c r="C338" t="s">
        <v>38</v>
      </c>
      <c r="D338" s="2">
        <v>153.80000000000001</v>
      </c>
      <c r="E338" s="2">
        <v>217.2</v>
      </c>
      <c r="F338" s="2">
        <v>169.6</v>
      </c>
      <c r="G338" s="2">
        <v>165.4</v>
      </c>
      <c r="H338" s="2">
        <v>208.1</v>
      </c>
      <c r="I338" s="2">
        <v>165.8</v>
      </c>
      <c r="J338" s="2">
        <v>167.3</v>
      </c>
      <c r="K338" s="2">
        <v>164.6</v>
      </c>
      <c r="L338" s="2">
        <v>119.1</v>
      </c>
      <c r="M338" s="2">
        <v>188.9</v>
      </c>
      <c r="N338" s="2">
        <v>174.2</v>
      </c>
      <c r="O338" s="2">
        <v>181.9</v>
      </c>
      <c r="P338" s="2">
        <v>172.4</v>
      </c>
      <c r="Q338" s="2">
        <v>192.9</v>
      </c>
      <c r="R338" s="2">
        <v>180.7</v>
      </c>
      <c r="S338" s="2">
        <v>178.7</v>
      </c>
      <c r="T338" s="2">
        <v>180.4</v>
      </c>
      <c r="U338" s="2">
        <f>AVERAGE(U339,U340)</f>
        <v>166.8</v>
      </c>
      <c r="V338" s="2">
        <v>176.7</v>
      </c>
      <c r="W338" s="2">
        <v>170.3</v>
      </c>
      <c r="X338" s="2">
        <v>178.2</v>
      </c>
      <c r="Y338" s="2">
        <v>165.5</v>
      </c>
      <c r="Z338" s="2">
        <v>168</v>
      </c>
      <c r="AA338" s="2">
        <v>172.6</v>
      </c>
      <c r="AB338" s="2">
        <v>169.5</v>
      </c>
      <c r="AC338" s="2">
        <v>171</v>
      </c>
      <c r="AD338" s="2">
        <v>173.6</v>
      </c>
      <c r="AE338" s="2">
        <f t="shared" si="73"/>
        <v>2248.3000000000002</v>
      </c>
      <c r="AF338" s="2">
        <f t="shared" si="74"/>
        <v>539.79999999999995</v>
      </c>
      <c r="AG338" s="2">
        <f t="shared" si="75"/>
        <v>337.1</v>
      </c>
      <c r="AH338" s="2">
        <f t="shared" si="76"/>
        <v>176.7</v>
      </c>
      <c r="AI338" s="2">
        <f t="shared" si="77"/>
        <v>1217.7</v>
      </c>
      <c r="AJ338" s="2">
        <f t="shared" si="78"/>
        <v>172.94615384615386</v>
      </c>
      <c r="AK338" s="2">
        <f t="shared" si="79"/>
        <v>179.93333333333331</v>
      </c>
      <c r="AL338" s="2">
        <f t="shared" si="80"/>
        <v>168.55</v>
      </c>
      <c r="AM338" s="2">
        <f t="shared" si="81"/>
        <v>176.7</v>
      </c>
      <c r="AN338" s="2">
        <f t="shared" si="82"/>
        <v>173.95714285714286</v>
      </c>
    </row>
    <row r="339" spans="1:40" x14ac:dyDescent="0.3">
      <c r="A339" t="s">
        <v>32</v>
      </c>
      <c r="B339">
        <v>2022</v>
      </c>
      <c r="C339" t="s">
        <v>38</v>
      </c>
      <c r="D339" s="2">
        <v>157.5</v>
      </c>
      <c r="E339" s="2">
        <v>223.4</v>
      </c>
      <c r="F339" s="2">
        <v>172.8</v>
      </c>
      <c r="G339" s="2">
        <v>166.4</v>
      </c>
      <c r="H339" s="2">
        <v>188.6</v>
      </c>
      <c r="I339" s="2">
        <v>174.1</v>
      </c>
      <c r="J339" s="2">
        <v>211.5</v>
      </c>
      <c r="K339" s="2">
        <v>163.6</v>
      </c>
      <c r="L339" s="2">
        <v>121.4</v>
      </c>
      <c r="M339" s="2">
        <v>183.5</v>
      </c>
      <c r="N339" s="2">
        <v>159.1</v>
      </c>
      <c r="O339" s="2">
        <v>186.3</v>
      </c>
      <c r="P339" s="2">
        <v>179.3</v>
      </c>
      <c r="Q339" s="2">
        <v>198.3</v>
      </c>
      <c r="R339" s="2">
        <v>171.6</v>
      </c>
      <c r="S339" s="2">
        <v>157.4</v>
      </c>
      <c r="T339" s="2">
        <v>169.4</v>
      </c>
      <c r="U339" s="2">
        <v>166.8</v>
      </c>
      <c r="V339" s="2">
        <v>174.9</v>
      </c>
      <c r="W339" s="2">
        <v>162.1</v>
      </c>
      <c r="X339" s="2">
        <v>170.9</v>
      </c>
      <c r="Y339" s="2">
        <v>157.19999999999999</v>
      </c>
      <c r="Z339" s="2">
        <v>164.1</v>
      </c>
      <c r="AA339" s="2">
        <v>166.5</v>
      </c>
      <c r="AB339" s="2">
        <v>169.2</v>
      </c>
      <c r="AC339" s="2">
        <v>163.80000000000001</v>
      </c>
      <c r="AD339" s="2">
        <v>171.4</v>
      </c>
      <c r="AE339" s="2">
        <f t="shared" si="73"/>
        <v>2287.5</v>
      </c>
      <c r="AF339" s="2">
        <f t="shared" si="74"/>
        <v>498.4</v>
      </c>
      <c r="AG339" s="2">
        <f t="shared" si="75"/>
        <v>328.9</v>
      </c>
      <c r="AH339" s="2">
        <f t="shared" si="76"/>
        <v>174.9</v>
      </c>
      <c r="AI339" s="2">
        <f t="shared" si="77"/>
        <v>1190</v>
      </c>
      <c r="AJ339" s="2">
        <f t="shared" si="78"/>
        <v>175.96153846153845</v>
      </c>
      <c r="AK339" s="2">
        <f t="shared" si="79"/>
        <v>166.13333333333333</v>
      </c>
      <c r="AL339" s="2">
        <f t="shared" si="80"/>
        <v>164.45</v>
      </c>
      <c r="AM339" s="2">
        <f t="shared" si="81"/>
        <v>174.9</v>
      </c>
      <c r="AN339" s="2">
        <f t="shared" si="82"/>
        <v>170</v>
      </c>
    </row>
    <row r="340" spans="1:40" x14ac:dyDescent="0.3">
      <c r="A340" t="s">
        <v>33</v>
      </c>
      <c r="B340">
        <v>2022</v>
      </c>
      <c r="C340" t="s">
        <v>38</v>
      </c>
      <c r="D340" s="2">
        <v>155</v>
      </c>
      <c r="E340" s="2">
        <v>219.4</v>
      </c>
      <c r="F340" s="2">
        <v>170.8</v>
      </c>
      <c r="G340" s="2">
        <v>165.8</v>
      </c>
      <c r="H340" s="2">
        <v>200.9</v>
      </c>
      <c r="I340" s="2">
        <v>169.7</v>
      </c>
      <c r="J340" s="2">
        <v>182.3</v>
      </c>
      <c r="K340" s="2">
        <v>164.3</v>
      </c>
      <c r="L340" s="2">
        <v>119.9</v>
      </c>
      <c r="M340" s="2">
        <v>187.1</v>
      </c>
      <c r="N340" s="2">
        <v>167.9</v>
      </c>
      <c r="O340" s="2">
        <v>183.9</v>
      </c>
      <c r="P340" s="2">
        <v>174.9</v>
      </c>
      <c r="Q340" s="2">
        <v>194.3</v>
      </c>
      <c r="R340" s="2">
        <v>177.1</v>
      </c>
      <c r="S340" s="2">
        <v>169.9</v>
      </c>
      <c r="T340" s="2">
        <v>176</v>
      </c>
      <c r="U340" s="2">
        <v>166.8</v>
      </c>
      <c r="V340" s="2">
        <v>176</v>
      </c>
      <c r="W340" s="2">
        <v>166.4</v>
      </c>
      <c r="X340" s="2">
        <v>175.4</v>
      </c>
      <c r="Y340" s="2">
        <v>161.1</v>
      </c>
      <c r="Z340" s="2">
        <v>165.8</v>
      </c>
      <c r="AA340" s="2">
        <v>169</v>
      </c>
      <c r="AB340" s="2">
        <v>169.4</v>
      </c>
      <c r="AC340" s="2">
        <v>167.5</v>
      </c>
      <c r="AD340" s="2">
        <v>172.6</v>
      </c>
      <c r="AE340" s="2">
        <f t="shared" si="73"/>
        <v>2261.9</v>
      </c>
      <c r="AF340" s="2">
        <f t="shared" si="74"/>
        <v>523</v>
      </c>
      <c r="AG340" s="2">
        <f t="shared" si="75"/>
        <v>333.20000000000005</v>
      </c>
      <c r="AH340" s="2">
        <f t="shared" si="76"/>
        <v>176</v>
      </c>
      <c r="AI340" s="2">
        <f t="shared" si="77"/>
        <v>1202.5</v>
      </c>
      <c r="AJ340" s="2">
        <f t="shared" si="78"/>
        <v>173.99230769230769</v>
      </c>
      <c r="AK340" s="2">
        <f t="shared" si="79"/>
        <v>174.33333333333334</v>
      </c>
      <c r="AL340" s="2">
        <f t="shared" si="80"/>
        <v>166.60000000000002</v>
      </c>
      <c r="AM340" s="2">
        <f t="shared" si="81"/>
        <v>176</v>
      </c>
      <c r="AN340" s="2">
        <f t="shared" si="82"/>
        <v>171.78571428571428</v>
      </c>
    </row>
    <row r="341" spans="1:40" x14ac:dyDescent="0.3">
      <c r="A341" t="s">
        <v>30</v>
      </c>
      <c r="B341">
        <v>2022</v>
      </c>
      <c r="C341" t="s">
        <v>39</v>
      </c>
      <c r="D341" s="2">
        <v>155.19999999999999</v>
      </c>
      <c r="E341" s="2">
        <v>210.8</v>
      </c>
      <c r="F341" s="2">
        <v>174.3</v>
      </c>
      <c r="G341" s="2">
        <v>166.3</v>
      </c>
      <c r="H341" s="2">
        <v>202.2</v>
      </c>
      <c r="I341" s="2">
        <v>169.6</v>
      </c>
      <c r="J341" s="2">
        <v>168.6</v>
      </c>
      <c r="K341" s="2">
        <v>164.4</v>
      </c>
      <c r="L341" s="2">
        <v>119.2</v>
      </c>
      <c r="M341" s="2">
        <v>191.8</v>
      </c>
      <c r="N341" s="2">
        <v>174.5</v>
      </c>
      <c r="O341" s="2">
        <v>183.1</v>
      </c>
      <c r="P341" s="2">
        <v>172.5</v>
      </c>
      <c r="Q341" s="2">
        <v>193.2</v>
      </c>
      <c r="R341" s="2">
        <v>182</v>
      </c>
      <c r="S341" s="2">
        <v>180.3</v>
      </c>
      <c r="T341" s="2">
        <v>181.7</v>
      </c>
      <c r="U341" s="2">
        <f>AVERAGE(U342,U343)</f>
        <v>167.8</v>
      </c>
      <c r="V341" s="2">
        <v>179.6</v>
      </c>
      <c r="W341" s="2">
        <v>171.3</v>
      </c>
      <c r="X341" s="2">
        <v>178.8</v>
      </c>
      <c r="Y341" s="2">
        <v>166.3</v>
      </c>
      <c r="Z341" s="2">
        <v>168.6</v>
      </c>
      <c r="AA341" s="2">
        <v>174.7</v>
      </c>
      <c r="AB341" s="2">
        <v>169.7</v>
      </c>
      <c r="AC341" s="2">
        <v>171.8</v>
      </c>
      <c r="AD341" s="2">
        <v>174.3</v>
      </c>
      <c r="AE341" s="2">
        <f t="shared" si="73"/>
        <v>2252.5</v>
      </c>
      <c r="AF341" s="2">
        <f t="shared" si="74"/>
        <v>544</v>
      </c>
      <c r="AG341" s="2">
        <f t="shared" si="75"/>
        <v>339.1</v>
      </c>
      <c r="AH341" s="2">
        <f t="shared" si="76"/>
        <v>179.6</v>
      </c>
      <c r="AI341" s="2">
        <f t="shared" si="77"/>
        <v>1223.1000000000001</v>
      </c>
      <c r="AJ341" s="2">
        <f t="shared" si="78"/>
        <v>173.26923076923077</v>
      </c>
      <c r="AK341" s="2">
        <f t="shared" si="79"/>
        <v>181.33333333333334</v>
      </c>
      <c r="AL341" s="2">
        <f t="shared" si="80"/>
        <v>169.55</v>
      </c>
      <c r="AM341" s="2">
        <f t="shared" si="81"/>
        <v>179.6</v>
      </c>
      <c r="AN341" s="2">
        <f t="shared" si="82"/>
        <v>174.72857142857146</v>
      </c>
    </row>
    <row r="342" spans="1:40" x14ac:dyDescent="0.3">
      <c r="A342" t="s">
        <v>32</v>
      </c>
      <c r="B342">
        <v>2022</v>
      </c>
      <c r="C342" t="s">
        <v>39</v>
      </c>
      <c r="D342" s="2">
        <v>159.30000000000001</v>
      </c>
      <c r="E342" s="2">
        <v>217.1</v>
      </c>
      <c r="F342" s="2">
        <v>176.6</v>
      </c>
      <c r="G342" s="2">
        <v>167.1</v>
      </c>
      <c r="H342" s="2">
        <v>184.8</v>
      </c>
      <c r="I342" s="2">
        <v>179.5</v>
      </c>
      <c r="J342" s="2">
        <v>208.5</v>
      </c>
      <c r="K342" s="2">
        <v>164</v>
      </c>
      <c r="L342" s="2">
        <v>121.5</v>
      </c>
      <c r="M342" s="2">
        <v>186.3</v>
      </c>
      <c r="N342" s="2">
        <v>159.80000000000001</v>
      </c>
      <c r="O342" s="2">
        <v>187.7</v>
      </c>
      <c r="P342" s="2">
        <v>179.4</v>
      </c>
      <c r="Q342" s="2">
        <v>198.6</v>
      </c>
      <c r="R342" s="2">
        <v>172.7</v>
      </c>
      <c r="S342" s="2">
        <v>158.69999999999999</v>
      </c>
      <c r="T342" s="2">
        <v>170.6</v>
      </c>
      <c r="U342" s="2">
        <v>167.8</v>
      </c>
      <c r="V342" s="2">
        <v>179.5</v>
      </c>
      <c r="W342" s="2">
        <v>163.1</v>
      </c>
      <c r="X342" s="2">
        <v>171.7</v>
      </c>
      <c r="Y342" s="2">
        <v>157.4</v>
      </c>
      <c r="Z342" s="2">
        <v>164.6</v>
      </c>
      <c r="AA342" s="2">
        <v>169.1</v>
      </c>
      <c r="AB342" s="2">
        <v>169.8</v>
      </c>
      <c r="AC342" s="2">
        <v>164.7</v>
      </c>
      <c r="AD342" s="2">
        <v>172.3</v>
      </c>
      <c r="AE342" s="2">
        <f t="shared" si="73"/>
        <v>2291.6</v>
      </c>
      <c r="AF342" s="2">
        <f t="shared" si="74"/>
        <v>502</v>
      </c>
      <c r="AG342" s="2">
        <f t="shared" si="75"/>
        <v>330.9</v>
      </c>
      <c r="AH342" s="2">
        <f t="shared" si="76"/>
        <v>179.5</v>
      </c>
      <c r="AI342" s="2">
        <f t="shared" si="77"/>
        <v>1195.9000000000001</v>
      </c>
      <c r="AJ342" s="2">
        <f t="shared" si="78"/>
        <v>176.27692307692308</v>
      </c>
      <c r="AK342" s="2">
        <f t="shared" si="79"/>
        <v>167.33333333333334</v>
      </c>
      <c r="AL342" s="2">
        <f t="shared" si="80"/>
        <v>165.45</v>
      </c>
      <c r="AM342" s="2">
        <f t="shared" si="81"/>
        <v>179.5</v>
      </c>
      <c r="AN342" s="2">
        <f t="shared" si="82"/>
        <v>170.84285714285716</v>
      </c>
    </row>
    <row r="343" spans="1:40" x14ac:dyDescent="0.3">
      <c r="A343" t="s">
        <v>33</v>
      </c>
      <c r="B343">
        <v>2022</v>
      </c>
      <c r="C343" t="s">
        <v>39</v>
      </c>
      <c r="D343" s="2">
        <v>156.5</v>
      </c>
      <c r="E343" s="2">
        <v>213</v>
      </c>
      <c r="F343" s="2">
        <v>175.2</v>
      </c>
      <c r="G343" s="2">
        <v>166.6</v>
      </c>
      <c r="H343" s="2">
        <v>195.8</v>
      </c>
      <c r="I343" s="2">
        <v>174.2</v>
      </c>
      <c r="J343" s="2">
        <v>182.1</v>
      </c>
      <c r="K343" s="2">
        <v>164.3</v>
      </c>
      <c r="L343" s="2">
        <v>120</v>
      </c>
      <c r="M343" s="2">
        <v>190</v>
      </c>
      <c r="N343" s="2">
        <v>168.4</v>
      </c>
      <c r="O343" s="2">
        <v>185.2</v>
      </c>
      <c r="P343" s="2">
        <v>175</v>
      </c>
      <c r="Q343" s="2">
        <v>194.6</v>
      </c>
      <c r="R343" s="2">
        <v>178.3</v>
      </c>
      <c r="S343" s="2">
        <v>171.3</v>
      </c>
      <c r="T343" s="2">
        <v>177.3</v>
      </c>
      <c r="U343" s="2">
        <v>167.8</v>
      </c>
      <c r="V343" s="2">
        <v>179.6</v>
      </c>
      <c r="W343" s="2">
        <v>167.4</v>
      </c>
      <c r="X343" s="2">
        <v>176.1</v>
      </c>
      <c r="Y343" s="2">
        <v>161.6</v>
      </c>
      <c r="Z343" s="2">
        <v>166.3</v>
      </c>
      <c r="AA343" s="2">
        <v>171.4</v>
      </c>
      <c r="AB343" s="2">
        <v>169.7</v>
      </c>
      <c r="AC343" s="2">
        <v>168.4</v>
      </c>
      <c r="AD343" s="2">
        <v>173.4</v>
      </c>
      <c r="AE343" s="2">
        <f t="shared" si="73"/>
        <v>2266.3000000000002</v>
      </c>
      <c r="AF343" s="2">
        <f t="shared" si="74"/>
        <v>526.90000000000009</v>
      </c>
      <c r="AG343" s="2">
        <f t="shared" si="75"/>
        <v>335.20000000000005</v>
      </c>
      <c r="AH343" s="2">
        <f t="shared" si="76"/>
        <v>179.6</v>
      </c>
      <c r="AI343" s="2">
        <f t="shared" si="77"/>
        <v>1208.0999999999999</v>
      </c>
      <c r="AJ343" s="2">
        <f t="shared" si="78"/>
        <v>174.33076923076925</v>
      </c>
      <c r="AK343" s="2">
        <f t="shared" si="79"/>
        <v>175.63333333333335</v>
      </c>
      <c r="AL343" s="2">
        <f t="shared" si="80"/>
        <v>167.60000000000002</v>
      </c>
      <c r="AM343" s="2">
        <f t="shared" si="81"/>
        <v>179.6</v>
      </c>
      <c r="AN343" s="2">
        <f t="shared" si="82"/>
        <v>172.58571428571426</v>
      </c>
    </row>
    <row r="344" spans="1:40" x14ac:dyDescent="0.3">
      <c r="A344" t="s">
        <v>30</v>
      </c>
      <c r="B344">
        <v>2022</v>
      </c>
      <c r="C344" t="s">
        <v>40</v>
      </c>
      <c r="D344" s="2">
        <v>159.5</v>
      </c>
      <c r="E344" s="2">
        <v>204.1</v>
      </c>
      <c r="F344" s="2">
        <v>168.3</v>
      </c>
      <c r="G344" s="2">
        <v>167.9</v>
      </c>
      <c r="H344" s="2">
        <v>198.1</v>
      </c>
      <c r="I344" s="2">
        <v>169.2</v>
      </c>
      <c r="J344" s="2">
        <v>173.1</v>
      </c>
      <c r="K344" s="2">
        <v>167.1</v>
      </c>
      <c r="L344" s="2">
        <v>120.2</v>
      </c>
      <c r="M344" s="2">
        <v>195.6</v>
      </c>
      <c r="N344" s="2">
        <v>174.8</v>
      </c>
      <c r="O344" s="2">
        <v>184</v>
      </c>
      <c r="P344" s="2">
        <v>173.9</v>
      </c>
      <c r="Q344" s="2">
        <v>193.7</v>
      </c>
      <c r="R344" s="2">
        <v>183.2</v>
      </c>
      <c r="S344" s="2">
        <v>181.7</v>
      </c>
      <c r="T344" s="2">
        <v>183</v>
      </c>
      <c r="U344" s="2">
        <f>AVERAGE(U345,U346)</f>
        <v>169</v>
      </c>
      <c r="V344" s="2">
        <v>179.1</v>
      </c>
      <c r="W344" s="2">
        <v>172.3</v>
      </c>
      <c r="X344" s="2">
        <v>179.4</v>
      </c>
      <c r="Y344" s="2">
        <v>166.6</v>
      </c>
      <c r="Z344" s="2">
        <v>169.3</v>
      </c>
      <c r="AA344" s="2">
        <v>175.7</v>
      </c>
      <c r="AB344" s="2">
        <v>171.1</v>
      </c>
      <c r="AC344" s="2">
        <v>172.6</v>
      </c>
      <c r="AD344" s="2">
        <v>175.3</v>
      </c>
      <c r="AE344" s="2">
        <f t="shared" si="73"/>
        <v>2255.7999999999997</v>
      </c>
      <c r="AF344" s="2">
        <f t="shared" si="74"/>
        <v>547.9</v>
      </c>
      <c r="AG344" s="2">
        <f t="shared" si="75"/>
        <v>341.3</v>
      </c>
      <c r="AH344" s="2">
        <f t="shared" si="76"/>
        <v>179.1</v>
      </c>
      <c r="AI344" s="2">
        <f t="shared" si="77"/>
        <v>1228.4000000000001</v>
      </c>
      <c r="AJ344" s="2">
        <f t="shared" si="78"/>
        <v>173.5230769230769</v>
      </c>
      <c r="AK344" s="2">
        <f t="shared" si="79"/>
        <v>182.63333333333333</v>
      </c>
      <c r="AL344" s="2">
        <f t="shared" si="80"/>
        <v>170.65</v>
      </c>
      <c r="AM344" s="2">
        <f t="shared" si="81"/>
        <v>179.1</v>
      </c>
      <c r="AN344" s="2">
        <f t="shared" si="82"/>
        <v>175.48571428571429</v>
      </c>
    </row>
    <row r="345" spans="1:40" x14ac:dyDescent="0.3">
      <c r="A345" t="s">
        <v>32</v>
      </c>
      <c r="B345">
        <v>2022</v>
      </c>
      <c r="C345" t="s">
        <v>40</v>
      </c>
      <c r="D345" s="2">
        <v>162.1</v>
      </c>
      <c r="E345" s="2">
        <v>210.9</v>
      </c>
      <c r="F345" s="2">
        <v>170.6</v>
      </c>
      <c r="G345" s="2">
        <v>168.4</v>
      </c>
      <c r="H345" s="2">
        <v>182.5</v>
      </c>
      <c r="I345" s="2">
        <v>177.1</v>
      </c>
      <c r="J345" s="2">
        <v>213.1</v>
      </c>
      <c r="K345" s="2">
        <v>167.3</v>
      </c>
      <c r="L345" s="2">
        <v>122.2</v>
      </c>
      <c r="M345" s="2">
        <v>189.7</v>
      </c>
      <c r="N345" s="2">
        <v>160.5</v>
      </c>
      <c r="O345" s="2">
        <v>188.9</v>
      </c>
      <c r="P345" s="2">
        <v>180.4</v>
      </c>
      <c r="Q345" s="2">
        <v>198.7</v>
      </c>
      <c r="R345" s="2">
        <v>173.7</v>
      </c>
      <c r="S345" s="2">
        <v>160</v>
      </c>
      <c r="T345" s="2">
        <v>171.6</v>
      </c>
      <c r="U345" s="2">
        <v>169</v>
      </c>
      <c r="V345" s="2">
        <v>178.4</v>
      </c>
      <c r="W345" s="2">
        <v>164.2</v>
      </c>
      <c r="X345" s="2">
        <v>172.6</v>
      </c>
      <c r="Y345" s="2">
        <v>157.69999999999999</v>
      </c>
      <c r="Z345" s="2">
        <v>165.1</v>
      </c>
      <c r="AA345" s="2">
        <v>169.9</v>
      </c>
      <c r="AB345" s="2">
        <v>171.4</v>
      </c>
      <c r="AC345" s="2">
        <v>165.4</v>
      </c>
      <c r="AD345" s="2">
        <v>173.1</v>
      </c>
      <c r="AE345" s="2">
        <f t="shared" si="73"/>
        <v>2293.6999999999998</v>
      </c>
      <c r="AF345" s="2">
        <f t="shared" si="74"/>
        <v>505.29999999999995</v>
      </c>
      <c r="AG345" s="2">
        <f t="shared" si="75"/>
        <v>333.2</v>
      </c>
      <c r="AH345" s="2">
        <f t="shared" si="76"/>
        <v>178.4</v>
      </c>
      <c r="AI345" s="2">
        <f t="shared" si="77"/>
        <v>1200.8</v>
      </c>
      <c r="AJ345" s="2">
        <f t="shared" si="78"/>
        <v>176.43846153846152</v>
      </c>
      <c r="AK345" s="2">
        <f t="shared" si="79"/>
        <v>168.43333333333331</v>
      </c>
      <c r="AL345" s="2">
        <f t="shared" si="80"/>
        <v>166.6</v>
      </c>
      <c r="AM345" s="2">
        <f t="shared" si="81"/>
        <v>178.4</v>
      </c>
      <c r="AN345" s="2">
        <f t="shared" si="82"/>
        <v>171.54285714285714</v>
      </c>
    </row>
    <row r="346" spans="1:40" x14ac:dyDescent="0.3">
      <c r="A346" t="s">
        <v>33</v>
      </c>
      <c r="B346">
        <v>2022</v>
      </c>
      <c r="C346" t="s">
        <v>40</v>
      </c>
      <c r="D346" s="2">
        <v>160.30000000000001</v>
      </c>
      <c r="E346" s="2">
        <v>206.5</v>
      </c>
      <c r="F346" s="2">
        <v>169.2</v>
      </c>
      <c r="G346" s="2">
        <v>168.1</v>
      </c>
      <c r="H346" s="2">
        <v>192.4</v>
      </c>
      <c r="I346" s="2">
        <v>172.9</v>
      </c>
      <c r="J346" s="2">
        <v>186.7</v>
      </c>
      <c r="K346" s="2">
        <v>167.2</v>
      </c>
      <c r="L346" s="2">
        <v>120.9</v>
      </c>
      <c r="M346" s="2">
        <v>193.6</v>
      </c>
      <c r="N346" s="2">
        <v>168.8</v>
      </c>
      <c r="O346" s="2">
        <v>186.3</v>
      </c>
      <c r="P346" s="2">
        <v>176.3</v>
      </c>
      <c r="Q346" s="2">
        <v>195</v>
      </c>
      <c r="R346" s="2">
        <v>179.5</v>
      </c>
      <c r="S346" s="2">
        <v>172.7</v>
      </c>
      <c r="T346" s="2">
        <v>178.5</v>
      </c>
      <c r="U346" s="2">
        <v>169</v>
      </c>
      <c r="V346" s="2">
        <v>178.8</v>
      </c>
      <c r="W346" s="2">
        <v>168.5</v>
      </c>
      <c r="X346" s="2">
        <v>176.8</v>
      </c>
      <c r="Y346" s="2">
        <v>161.9</v>
      </c>
      <c r="Z346" s="2">
        <v>166.9</v>
      </c>
      <c r="AA346" s="2">
        <v>172.3</v>
      </c>
      <c r="AB346" s="2">
        <v>171.2</v>
      </c>
      <c r="AC346" s="2">
        <v>169.1</v>
      </c>
      <c r="AD346" s="2">
        <v>174.3</v>
      </c>
      <c r="AE346" s="2">
        <f t="shared" si="73"/>
        <v>2269.2000000000003</v>
      </c>
      <c r="AF346" s="2">
        <f t="shared" si="74"/>
        <v>530.70000000000005</v>
      </c>
      <c r="AG346" s="2">
        <f t="shared" si="75"/>
        <v>337.5</v>
      </c>
      <c r="AH346" s="2">
        <f t="shared" si="76"/>
        <v>178.8</v>
      </c>
      <c r="AI346" s="2">
        <f t="shared" si="77"/>
        <v>1213.2000000000003</v>
      </c>
      <c r="AJ346" s="2">
        <f t="shared" si="78"/>
        <v>174.55384615384617</v>
      </c>
      <c r="AK346" s="2">
        <f t="shared" si="79"/>
        <v>176.9</v>
      </c>
      <c r="AL346" s="2">
        <f t="shared" si="80"/>
        <v>168.75</v>
      </c>
      <c r="AM346" s="2">
        <f t="shared" si="81"/>
        <v>178.8</v>
      </c>
      <c r="AN346" s="2">
        <f t="shared" si="82"/>
        <v>173.31428571428575</v>
      </c>
    </row>
    <row r="347" spans="1:40" x14ac:dyDescent="0.3">
      <c r="A347" t="s">
        <v>30</v>
      </c>
      <c r="B347">
        <v>2022</v>
      </c>
      <c r="C347" t="s">
        <v>41</v>
      </c>
      <c r="D347" s="2">
        <v>162.9</v>
      </c>
      <c r="E347" s="2">
        <v>206.7</v>
      </c>
      <c r="F347" s="2">
        <v>169</v>
      </c>
      <c r="G347" s="2">
        <v>169.5</v>
      </c>
      <c r="H347" s="2">
        <v>194.1</v>
      </c>
      <c r="I347" s="2">
        <v>164.1</v>
      </c>
      <c r="J347" s="2">
        <v>176.9</v>
      </c>
      <c r="K347" s="2">
        <v>169</v>
      </c>
      <c r="L347" s="2">
        <v>120.8</v>
      </c>
      <c r="M347" s="2">
        <v>199.1</v>
      </c>
      <c r="N347" s="2">
        <v>175.4</v>
      </c>
      <c r="O347" s="2">
        <v>184.8</v>
      </c>
      <c r="P347" s="2">
        <v>175.5</v>
      </c>
      <c r="Q347" s="2">
        <v>194.5</v>
      </c>
      <c r="R347" s="2">
        <v>184.7</v>
      </c>
      <c r="S347" s="2">
        <v>183.3</v>
      </c>
      <c r="T347" s="2">
        <v>184.5</v>
      </c>
      <c r="U347" s="2">
        <f>AVERAGE(U348,U349)</f>
        <v>169.5</v>
      </c>
      <c r="V347" s="2">
        <v>179.7</v>
      </c>
      <c r="W347" s="2">
        <v>173.6</v>
      </c>
      <c r="X347" s="2">
        <v>180.2</v>
      </c>
      <c r="Y347" s="2">
        <v>166.9</v>
      </c>
      <c r="Z347" s="2">
        <v>170</v>
      </c>
      <c r="AA347" s="2">
        <v>176.2</v>
      </c>
      <c r="AB347" s="2">
        <v>170.8</v>
      </c>
      <c r="AC347" s="2">
        <v>173.1</v>
      </c>
      <c r="AD347" s="2">
        <v>176.4</v>
      </c>
      <c r="AE347" s="2">
        <f t="shared" si="73"/>
        <v>2267.8000000000002</v>
      </c>
      <c r="AF347" s="2">
        <f t="shared" si="74"/>
        <v>552.5</v>
      </c>
      <c r="AG347" s="2">
        <f t="shared" si="75"/>
        <v>343.1</v>
      </c>
      <c r="AH347" s="2">
        <f t="shared" si="76"/>
        <v>179.7</v>
      </c>
      <c r="AI347" s="2">
        <f t="shared" si="77"/>
        <v>1231.6999999999998</v>
      </c>
      <c r="AJ347" s="2">
        <f t="shared" si="78"/>
        <v>174.44615384615386</v>
      </c>
      <c r="AK347" s="2">
        <f t="shared" si="79"/>
        <v>184.16666666666666</v>
      </c>
      <c r="AL347" s="2">
        <f t="shared" si="80"/>
        <v>171.55</v>
      </c>
      <c r="AM347" s="2">
        <f t="shared" si="81"/>
        <v>179.7</v>
      </c>
      <c r="AN347" s="2">
        <f t="shared" si="82"/>
        <v>175.95714285714283</v>
      </c>
    </row>
    <row r="348" spans="1:40" x14ac:dyDescent="0.3">
      <c r="A348" t="s">
        <v>32</v>
      </c>
      <c r="B348">
        <v>2022</v>
      </c>
      <c r="C348" t="s">
        <v>41</v>
      </c>
      <c r="D348" s="2">
        <v>164.9</v>
      </c>
      <c r="E348" s="2">
        <v>213.7</v>
      </c>
      <c r="F348" s="2">
        <v>170.9</v>
      </c>
      <c r="G348" s="2">
        <v>170.1</v>
      </c>
      <c r="H348" s="2">
        <v>179.3</v>
      </c>
      <c r="I348" s="2">
        <v>167.5</v>
      </c>
      <c r="J348" s="2">
        <v>220.8</v>
      </c>
      <c r="K348" s="2">
        <v>169.2</v>
      </c>
      <c r="L348" s="2">
        <v>123.1</v>
      </c>
      <c r="M348" s="2">
        <v>193.6</v>
      </c>
      <c r="N348" s="2">
        <v>161.1</v>
      </c>
      <c r="O348" s="2">
        <v>190.4</v>
      </c>
      <c r="P348" s="2">
        <v>181.8</v>
      </c>
      <c r="Q348" s="2">
        <v>199.7</v>
      </c>
      <c r="R348" s="2">
        <v>175</v>
      </c>
      <c r="S348" s="2">
        <v>161.69999999999999</v>
      </c>
      <c r="T348" s="2">
        <v>173</v>
      </c>
      <c r="U348" s="2">
        <v>169.5</v>
      </c>
      <c r="V348" s="2">
        <v>179.2</v>
      </c>
      <c r="W348" s="2">
        <v>165</v>
      </c>
      <c r="X348" s="2">
        <v>173.8</v>
      </c>
      <c r="Y348" s="2">
        <v>158.19999999999999</v>
      </c>
      <c r="Z348" s="2">
        <v>165.8</v>
      </c>
      <c r="AA348" s="2">
        <v>170.9</v>
      </c>
      <c r="AB348" s="2">
        <v>171.1</v>
      </c>
      <c r="AC348" s="2">
        <v>166.1</v>
      </c>
      <c r="AD348" s="2">
        <v>174.1</v>
      </c>
      <c r="AE348" s="2">
        <f t="shared" si="73"/>
        <v>2306.4</v>
      </c>
      <c r="AF348" s="2">
        <f t="shared" si="74"/>
        <v>509.7</v>
      </c>
      <c r="AG348" s="2">
        <f t="shared" si="75"/>
        <v>334.5</v>
      </c>
      <c r="AH348" s="2">
        <f t="shared" si="76"/>
        <v>179.2</v>
      </c>
      <c r="AI348" s="2">
        <f t="shared" si="77"/>
        <v>1205.6000000000001</v>
      </c>
      <c r="AJ348" s="2">
        <f t="shared" si="78"/>
        <v>177.41538461538462</v>
      </c>
      <c r="AK348" s="2">
        <f t="shared" si="79"/>
        <v>169.9</v>
      </c>
      <c r="AL348" s="2">
        <f t="shared" si="80"/>
        <v>167.25</v>
      </c>
      <c r="AM348" s="2">
        <f t="shared" si="81"/>
        <v>179.2</v>
      </c>
      <c r="AN348" s="2">
        <f t="shared" si="82"/>
        <v>172.22857142857146</v>
      </c>
    </row>
    <row r="349" spans="1:40" x14ac:dyDescent="0.3">
      <c r="A349" t="s">
        <v>33</v>
      </c>
      <c r="B349">
        <v>2022</v>
      </c>
      <c r="C349" t="s">
        <v>41</v>
      </c>
      <c r="D349" s="2">
        <v>163.5</v>
      </c>
      <c r="E349" s="2">
        <v>209.2</v>
      </c>
      <c r="F349" s="2">
        <v>169.7</v>
      </c>
      <c r="G349" s="2">
        <v>169.7</v>
      </c>
      <c r="H349" s="2">
        <v>188.7</v>
      </c>
      <c r="I349" s="2">
        <v>165.7</v>
      </c>
      <c r="J349" s="2">
        <v>191.8</v>
      </c>
      <c r="K349" s="2">
        <v>169.1</v>
      </c>
      <c r="L349" s="2">
        <v>121.6</v>
      </c>
      <c r="M349" s="2">
        <v>197.3</v>
      </c>
      <c r="N349" s="2">
        <v>169.4</v>
      </c>
      <c r="O349" s="2">
        <v>187.4</v>
      </c>
      <c r="P349" s="2">
        <v>177.8</v>
      </c>
      <c r="Q349" s="2">
        <v>195.9</v>
      </c>
      <c r="R349" s="2">
        <v>180.9</v>
      </c>
      <c r="S349" s="2">
        <v>174.3</v>
      </c>
      <c r="T349" s="2">
        <v>179.9</v>
      </c>
      <c r="U349" s="2">
        <v>169.5</v>
      </c>
      <c r="V349" s="2">
        <v>179.5</v>
      </c>
      <c r="W349" s="2">
        <v>169.5</v>
      </c>
      <c r="X349" s="2">
        <v>177.8</v>
      </c>
      <c r="Y349" s="2">
        <v>162.30000000000001</v>
      </c>
      <c r="Z349" s="2">
        <v>167.6</v>
      </c>
      <c r="AA349" s="2">
        <v>173.1</v>
      </c>
      <c r="AB349" s="2">
        <v>170.9</v>
      </c>
      <c r="AC349" s="2">
        <v>169.7</v>
      </c>
      <c r="AD349" s="2">
        <v>175.3</v>
      </c>
      <c r="AE349" s="2">
        <f t="shared" si="73"/>
        <v>2280.9</v>
      </c>
      <c r="AF349" s="2">
        <f t="shared" si="74"/>
        <v>535.1</v>
      </c>
      <c r="AG349" s="2">
        <f t="shared" si="75"/>
        <v>339</v>
      </c>
      <c r="AH349" s="2">
        <f t="shared" si="76"/>
        <v>179.5</v>
      </c>
      <c r="AI349" s="2">
        <f t="shared" si="77"/>
        <v>1217.3000000000002</v>
      </c>
      <c r="AJ349" s="2">
        <f t="shared" si="78"/>
        <v>175.45384615384617</v>
      </c>
      <c r="AK349" s="2">
        <f t="shared" si="79"/>
        <v>178.36666666666667</v>
      </c>
      <c r="AL349" s="2">
        <f t="shared" si="80"/>
        <v>169.5</v>
      </c>
      <c r="AM349" s="2">
        <f t="shared" si="81"/>
        <v>179.5</v>
      </c>
      <c r="AN349" s="2">
        <f t="shared" si="82"/>
        <v>173.90000000000003</v>
      </c>
    </row>
    <row r="350" spans="1:40" x14ac:dyDescent="0.3">
      <c r="A350" t="s">
        <v>30</v>
      </c>
      <c r="B350">
        <v>2022</v>
      </c>
      <c r="C350" t="s">
        <v>42</v>
      </c>
      <c r="D350" s="2">
        <v>164.7</v>
      </c>
      <c r="E350" s="2">
        <v>208.8</v>
      </c>
      <c r="F350" s="2">
        <v>170.3</v>
      </c>
      <c r="G350" s="2">
        <v>170.9</v>
      </c>
      <c r="H350" s="2">
        <v>191.6</v>
      </c>
      <c r="I350" s="2">
        <v>162.19999999999999</v>
      </c>
      <c r="J350" s="2">
        <v>184.8</v>
      </c>
      <c r="K350" s="2">
        <v>169.7</v>
      </c>
      <c r="L350" s="2">
        <v>121.1</v>
      </c>
      <c r="M350" s="2">
        <v>201.6</v>
      </c>
      <c r="N350" s="2">
        <v>175.8</v>
      </c>
      <c r="O350" s="2">
        <v>185.6</v>
      </c>
      <c r="P350" s="2">
        <v>177.4</v>
      </c>
      <c r="Q350" s="2">
        <v>194.9</v>
      </c>
      <c r="R350" s="2">
        <v>186.1</v>
      </c>
      <c r="S350" s="2">
        <v>184.4</v>
      </c>
      <c r="T350" s="2">
        <v>185.9</v>
      </c>
      <c r="U350" s="2">
        <f>AVERAGE(U351,U352)</f>
        <v>171.2</v>
      </c>
      <c r="V350" s="2">
        <v>180.8</v>
      </c>
      <c r="W350" s="2">
        <v>174.4</v>
      </c>
      <c r="X350" s="2">
        <v>181.2</v>
      </c>
      <c r="Y350" s="2">
        <v>167.4</v>
      </c>
      <c r="Z350" s="2">
        <v>170.6</v>
      </c>
      <c r="AA350" s="2">
        <v>176.5</v>
      </c>
      <c r="AB350" s="2">
        <v>172</v>
      </c>
      <c r="AC350" s="2">
        <v>173.9</v>
      </c>
      <c r="AD350" s="2">
        <v>177.9</v>
      </c>
      <c r="AE350" s="2">
        <f t="shared" si="73"/>
        <v>2284.5</v>
      </c>
      <c r="AF350" s="2">
        <f t="shared" si="74"/>
        <v>556.4</v>
      </c>
      <c r="AG350" s="2">
        <f t="shared" si="75"/>
        <v>345.6</v>
      </c>
      <c r="AH350" s="2">
        <f t="shared" si="76"/>
        <v>180.8</v>
      </c>
      <c r="AI350" s="2">
        <f t="shared" si="77"/>
        <v>1236.5000000000002</v>
      </c>
      <c r="AJ350" s="2">
        <f t="shared" si="78"/>
        <v>175.73076923076923</v>
      </c>
      <c r="AK350" s="2">
        <f t="shared" si="79"/>
        <v>185.46666666666667</v>
      </c>
      <c r="AL350" s="2">
        <f t="shared" si="80"/>
        <v>172.8</v>
      </c>
      <c r="AM350" s="2">
        <f t="shared" si="81"/>
        <v>180.8</v>
      </c>
      <c r="AN350" s="2">
        <f t="shared" si="82"/>
        <v>176.64285714285717</v>
      </c>
    </row>
    <row r="351" spans="1:40" x14ac:dyDescent="0.3">
      <c r="A351" t="s">
        <v>32</v>
      </c>
      <c r="B351">
        <v>2022</v>
      </c>
      <c r="C351" t="s">
        <v>42</v>
      </c>
      <c r="D351" s="2">
        <v>166.4</v>
      </c>
      <c r="E351" s="2">
        <v>214.9</v>
      </c>
      <c r="F351" s="2">
        <v>171.9</v>
      </c>
      <c r="G351" s="2">
        <v>171</v>
      </c>
      <c r="H351" s="2">
        <v>177.7</v>
      </c>
      <c r="I351" s="2">
        <v>165.7</v>
      </c>
      <c r="J351" s="2">
        <v>228.6</v>
      </c>
      <c r="K351" s="2">
        <v>169.9</v>
      </c>
      <c r="L351" s="2">
        <v>123.4</v>
      </c>
      <c r="M351" s="2">
        <v>196.4</v>
      </c>
      <c r="N351" s="2">
        <v>161.6</v>
      </c>
      <c r="O351" s="2">
        <v>191.5</v>
      </c>
      <c r="P351" s="2">
        <v>183.3</v>
      </c>
      <c r="Q351" s="2">
        <v>200.1</v>
      </c>
      <c r="R351" s="2">
        <v>175.5</v>
      </c>
      <c r="S351" s="2">
        <v>162.6</v>
      </c>
      <c r="T351" s="2">
        <v>173.6</v>
      </c>
      <c r="U351" s="2">
        <v>171.2</v>
      </c>
      <c r="V351" s="2">
        <v>180</v>
      </c>
      <c r="W351" s="2">
        <v>166</v>
      </c>
      <c r="X351" s="2">
        <v>174.7</v>
      </c>
      <c r="Y351" s="2">
        <v>158.80000000000001</v>
      </c>
      <c r="Z351" s="2">
        <v>166.3</v>
      </c>
      <c r="AA351" s="2">
        <v>171.2</v>
      </c>
      <c r="AB351" s="2">
        <v>172.3</v>
      </c>
      <c r="AC351" s="2">
        <v>166.8</v>
      </c>
      <c r="AD351" s="2">
        <v>175.3</v>
      </c>
      <c r="AE351" s="2">
        <f t="shared" si="73"/>
        <v>2322.3000000000002</v>
      </c>
      <c r="AF351" s="2">
        <f t="shared" si="74"/>
        <v>511.70000000000005</v>
      </c>
      <c r="AG351" s="2">
        <f t="shared" si="75"/>
        <v>337.2</v>
      </c>
      <c r="AH351" s="2">
        <f t="shared" si="76"/>
        <v>180</v>
      </c>
      <c r="AI351" s="2">
        <f t="shared" si="77"/>
        <v>1210.1999999999998</v>
      </c>
      <c r="AJ351" s="2">
        <f t="shared" si="78"/>
        <v>178.63846153846154</v>
      </c>
      <c r="AK351" s="2">
        <f t="shared" si="79"/>
        <v>170.56666666666669</v>
      </c>
      <c r="AL351" s="2">
        <f t="shared" si="80"/>
        <v>168.6</v>
      </c>
      <c r="AM351" s="2">
        <f t="shared" si="81"/>
        <v>180</v>
      </c>
      <c r="AN351" s="2">
        <f t="shared" si="82"/>
        <v>172.88571428571427</v>
      </c>
    </row>
    <row r="352" spans="1:40" x14ac:dyDescent="0.3">
      <c r="A352" t="s">
        <v>33</v>
      </c>
      <c r="B352">
        <v>2022</v>
      </c>
      <c r="C352" t="s">
        <v>42</v>
      </c>
      <c r="D352" s="2">
        <v>165.2</v>
      </c>
      <c r="E352" s="2">
        <v>210.9</v>
      </c>
      <c r="F352" s="2">
        <v>170.9</v>
      </c>
      <c r="G352" s="2">
        <v>170.9</v>
      </c>
      <c r="H352" s="2">
        <v>186.5</v>
      </c>
      <c r="I352" s="2">
        <v>163.80000000000001</v>
      </c>
      <c r="J352" s="2">
        <v>199.7</v>
      </c>
      <c r="K352" s="2">
        <v>169.8</v>
      </c>
      <c r="L352" s="2">
        <v>121.9</v>
      </c>
      <c r="M352" s="2">
        <v>199.9</v>
      </c>
      <c r="N352" s="2">
        <v>169.9</v>
      </c>
      <c r="O352" s="2">
        <v>188.3</v>
      </c>
      <c r="P352" s="2">
        <v>179.6</v>
      </c>
      <c r="Q352" s="2">
        <v>196.3</v>
      </c>
      <c r="R352" s="2">
        <v>181.9</v>
      </c>
      <c r="S352" s="2">
        <v>175.3</v>
      </c>
      <c r="T352" s="2">
        <v>181</v>
      </c>
      <c r="U352" s="2">
        <v>171.2</v>
      </c>
      <c r="V352" s="2">
        <v>180.5</v>
      </c>
      <c r="W352" s="2">
        <v>170.4</v>
      </c>
      <c r="X352" s="2">
        <v>178.7</v>
      </c>
      <c r="Y352" s="2">
        <v>162.9</v>
      </c>
      <c r="Z352" s="2">
        <v>168.2</v>
      </c>
      <c r="AA352" s="2">
        <v>173.4</v>
      </c>
      <c r="AB352" s="2">
        <v>172.1</v>
      </c>
      <c r="AC352" s="2">
        <v>170.5</v>
      </c>
      <c r="AD352" s="2">
        <v>176.7</v>
      </c>
      <c r="AE352" s="2">
        <f t="shared" si="73"/>
        <v>2297.3000000000002</v>
      </c>
      <c r="AF352" s="2">
        <f t="shared" si="74"/>
        <v>538.20000000000005</v>
      </c>
      <c r="AG352" s="2">
        <f t="shared" si="75"/>
        <v>341.6</v>
      </c>
      <c r="AH352" s="2">
        <f t="shared" si="76"/>
        <v>180.5</v>
      </c>
      <c r="AI352" s="2">
        <f t="shared" si="77"/>
        <v>1222.1000000000001</v>
      </c>
      <c r="AJ352" s="2">
        <f t="shared" si="78"/>
        <v>176.71538461538464</v>
      </c>
      <c r="AK352" s="2">
        <f t="shared" si="79"/>
        <v>179.4</v>
      </c>
      <c r="AL352" s="2">
        <f t="shared" si="80"/>
        <v>170.8</v>
      </c>
      <c r="AM352" s="2">
        <f t="shared" si="81"/>
        <v>180.5</v>
      </c>
      <c r="AN352" s="2">
        <f t="shared" si="82"/>
        <v>174.58571428571432</v>
      </c>
    </row>
    <row r="353" spans="1:40" x14ac:dyDescent="0.3">
      <c r="A353" t="s">
        <v>30</v>
      </c>
      <c r="B353">
        <v>2022</v>
      </c>
      <c r="C353" t="s">
        <v>44</v>
      </c>
      <c r="D353" s="2">
        <v>166.9</v>
      </c>
      <c r="E353" s="2">
        <v>207.2</v>
      </c>
      <c r="F353" s="2">
        <v>180.2</v>
      </c>
      <c r="G353" s="2">
        <v>172.3</v>
      </c>
      <c r="H353" s="2">
        <v>194</v>
      </c>
      <c r="I353" s="2">
        <v>159.1</v>
      </c>
      <c r="J353" s="2">
        <v>171.6</v>
      </c>
      <c r="K353" s="2">
        <v>170.2</v>
      </c>
      <c r="L353" s="2">
        <v>121.5</v>
      </c>
      <c r="M353" s="2">
        <v>204.8</v>
      </c>
      <c r="N353" s="2">
        <v>176.4</v>
      </c>
      <c r="O353" s="2">
        <v>186.9</v>
      </c>
      <c r="P353" s="2">
        <v>176.6</v>
      </c>
      <c r="Q353" s="2">
        <v>195.5</v>
      </c>
      <c r="R353" s="2">
        <v>187.2</v>
      </c>
      <c r="S353" s="2">
        <v>185.2</v>
      </c>
      <c r="T353" s="2">
        <v>186.9</v>
      </c>
      <c r="U353" s="2">
        <f>AVERAGE(U354,U355)</f>
        <v>171.8</v>
      </c>
      <c r="V353" s="2">
        <v>181.9</v>
      </c>
      <c r="W353" s="2">
        <v>175.5</v>
      </c>
      <c r="X353" s="2">
        <v>182.3</v>
      </c>
      <c r="Y353" s="2">
        <v>167.5</v>
      </c>
      <c r="Z353" s="2">
        <v>170.8</v>
      </c>
      <c r="AA353" s="2">
        <v>176.9</v>
      </c>
      <c r="AB353" s="2">
        <v>173.4</v>
      </c>
      <c r="AC353" s="2">
        <v>174.6</v>
      </c>
      <c r="AD353" s="2">
        <v>177.8</v>
      </c>
      <c r="AE353" s="2">
        <f t="shared" si="73"/>
        <v>2287.6999999999998</v>
      </c>
      <c r="AF353" s="2">
        <f t="shared" si="74"/>
        <v>559.29999999999995</v>
      </c>
      <c r="AG353" s="2">
        <f t="shared" si="75"/>
        <v>347.3</v>
      </c>
      <c r="AH353" s="2">
        <f t="shared" si="76"/>
        <v>181.9</v>
      </c>
      <c r="AI353" s="2">
        <f t="shared" si="77"/>
        <v>1241</v>
      </c>
      <c r="AJ353" s="2">
        <f t="shared" si="78"/>
        <v>175.97692307692307</v>
      </c>
      <c r="AK353" s="2">
        <f t="shared" si="79"/>
        <v>186.43333333333331</v>
      </c>
      <c r="AL353" s="2">
        <f t="shared" si="80"/>
        <v>173.65</v>
      </c>
      <c r="AM353" s="2">
        <f t="shared" si="81"/>
        <v>181.9</v>
      </c>
      <c r="AN353" s="2">
        <f t="shared" si="82"/>
        <v>177.28571428571428</v>
      </c>
    </row>
    <row r="354" spans="1:40" x14ac:dyDescent="0.3">
      <c r="A354" t="s">
        <v>32</v>
      </c>
      <c r="B354">
        <v>2022</v>
      </c>
      <c r="C354" t="s">
        <v>44</v>
      </c>
      <c r="D354" s="2">
        <v>168.4</v>
      </c>
      <c r="E354" s="2">
        <v>213.4</v>
      </c>
      <c r="F354" s="2">
        <v>183.2</v>
      </c>
      <c r="G354" s="2">
        <v>172.3</v>
      </c>
      <c r="H354" s="2">
        <v>180</v>
      </c>
      <c r="I354" s="2">
        <v>162.6</v>
      </c>
      <c r="J354" s="2">
        <v>205.5</v>
      </c>
      <c r="K354" s="2">
        <v>171</v>
      </c>
      <c r="L354" s="2">
        <v>123.4</v>
      </c>
      <c r="M354" s="2">
        <v>198.8</v>
      </c>
      <c r="N354" s="2">
        <v>162.1</v>
      </c>
      <c r="O354" s="2">
        <v>192.4</v>
      </c>
      <c r="P354" s="2">
        <v>181.3</v>
      </c>
      <c r="Q354" s="2">
        <v>200.6</v>
      </c>
      <c r="R354" s="2">
        <v>176.7</v>
      </c>
      <c r="S354" s="2">
        <v>163.5</v>
      </c>
      <c r="T354" s="2">
        <v>174.7</v>
      </c>
      <c r="U354" s="2">
        <v>171.8</v>
      </c>
      <c r="V354" s="2">
        <v>180.3</v>
      </c>
      <c r="W354" s="2">
        <v>166.9</v>
      </c>
      <c r="X354" s="2">
        <v>175.8</v>
      </c>
      <c r="Y354" s="2">
        <v>158.9</v>
      </c>
      <c r="Z354" s="2">
        <v>166.7</v>
      </c>
      <c r="AA354" s="2">
        <v>171.5</v>
      </c>
      <c r="AB354" s="2">
        <v>173.8</v>
      </c>
      <c r="AC354" s="2">
        <v>167.4</v>
      </c>
      <c r="AD354" s="2">
        <v>174.1</v>
      </c>
      <c r="AE354" s="2">
        <f t="shared" si="73"/>
        <v>2314.4</v>
      </c>
      <c r="AF354" s="2">
        <f t="shared" si="74"/>
        <v>514.9</v>
      </c>
      <c r="AG354" s="2">
        <f t="shared" si="75"/>
        <v>338.70000000000005</v>
      </c>
      <c r="AH354" s="2">
        <f t="shared" si="76"/>
        <v>180.3</v>
      </c>
      <c r="AI354" s="2">
        <f t="shared" si="77"/>
        <v>1214.7</v>
      </c>
      <c r="AJ354" s="2">
        <f t="shared" si="78"/>
        <v>178.03076923076924</v>
      </c>
      <c r="AK354" s="2">
        <f t="shared" si="79"/>
        <v>171.63333333333333</v>
      </c>
      <c r="AL354" s="2">
        <f t="shared" si="80"/>
        <v>169.35000000000002</v>
      </c>
      <c r="AM354" s="2">
        <f t="shared" si="81"/>
        <v>180.3</v>
      </c>
      <c r="AN354" s="2">
        <f t="shared" si="82"/>
        <v>173.52857142857144</v>
      </c>
    </row>
    <row r="355" spans="1:40" x14ac:dyDescent="0.3">
      <c r="A355" t="s">
        <v>33</v>
      </c>
      <c r="B355">
        <v>2022</v>
      </c>
      <c r="C355" t="s">
        <v>44</v>
      </c>
      <c r="D355" s="2">
        <v>167.4</v>
      </c>
      <c r="E355" s="2">
        <v>209.4</v>
      </c>
      <c r="F355" s="2">
        <v>181.4</v>
      </c>
      <c r="G355" s="2">
        <v>172.3</v>
      </c>
      <c r="H355" s="2">
        <v>188.9</v>
      </c>
      <c r="I355" s="2">
        <v>160.69999999999999</v>
      </c>
      <c r="J355" s="2">
        <v>183.1</v>
      </c>
      <c r="K355" s="2">
        <v>170.5</v>
      </c>
      <c r="L355" s="2">
        <v>122.1</v>
      </c>
      <c r="M355" s="2">
        <v>202.8</v>
      </c>
      <c r="N355" s="2">
        <v>170.4</v>
      </c>
      <c r="O355" s="2">
        <v>189.5</v>
      </c>
      <c r="P355" s="2">
        <v>178.3</v>
      </c>
      <c r="Q355" s="2">
        <v>196.9</v>
      </c>
      <c r="R355" s="2">
        <v>183.1</v>
      </c>
      <c r="S355" s="2">
        <v>176.2</v>
      </c>
      <c r="T355" s="2">
        <v>182.1</v>
      </c>
      <c r="U355" s="2">
        <v>171.8</v>
      </c>
      <c r="V355" s="2">
        <v>181.3</v>
      </c>
      <c r="W355" s="2">
        <v>171.4</v>
      </c>
      <c r="X355" s="2">
        <v>179.8</v>
      </c>
      <c r="Y355" s="2">
        <v>163</v>
      </c>
      <c r="Z355" s="2">
        <v>168.5</v>
      </c>
      <c r="AA355" s="2">
        <v>173.7</v>
      </c>
      <c r="AB355" s="2">
        <v>173.6</v>
      </c>
      <c r="AC355" s="2">
        <v>171.1</v>
      </c>
      <c r="AD355" s="2">
        <v>176.5</v>
      </c>
      <c r="AE355" s="2">
        <f t="shared" si="73"/>
        <v>2296.8000000000002</v>
      </c>
      <c r="AF355" s="2">
        <f t="shared" si="74"/>
        <v>541.4</v>
      </c>
      <c r="AG355" s="2">
        <f t="shared" si="75"/>
        <v>343.20000000000005</v>
      </c>
      <c r="AH355" s="2">
        <f t="shared" si="76"/>
        <v>181.3</v>
      </c>
      <c r="AI355" s="2">
        <f t="shared" si="77"/>
        <v>1226.6000000000001</v>
      </c>
      <c r="AJ355" s="2">
        <f t="shared" si="78"/>
        <v>176.67692307692309</v>
      </c>
      <c r="AK355" s="2">
        <f t="shared" si="79"/>
        <v>180.46666666666667</v>
      </c>
      <c r="AL355" s="2">
        <f t="shared" si="80"/>
        <v>171.60000000000002</v>
      </c>
      <c r="AM355" s="2">
        <f t="shared" si="81"/>
        <v>181.3</v>
      </c>
      <c r="AN355" s="2">
        <f t="shared" si="82"/>
        <v>175.22857142857146</v>
      </c>
    </row>
    <row r="356" spans="1:40" x14ac:dyDescent="0.3">
      <c r="A356" t="s">
        <v>30</v>
      </c>
      <c r="B356">
        <v>2022</v>
      </c>
      <c r="C356" t="s">
        <v>45</v>
      </c>
      <c r="D356" s="2">
        <v>168.8</v>
      </c>
      <c r="E356" s="2">
        <v>206.9</v>
      </c>
      <c r="F356" s="2">
        <v>189.1</v>
      </c>
      <c r="G356" s="2">
        <v>173.4</v>
      </c>
      <c r="H356" s="2">
        <v>193.9</v>
      </c>
      <c r="I356" s="2">
        <v>156.69999999999999</v>
      </c>
      <c r="J356" s="2">
        <v>150.19999999999999</v>
      </c>
      <c r="K356" s="2">
        <v>170.5</v>
      </c>
      <c r="L356" s="2">
        <v>121.2</v>
      </c>
      <c r="M356" s="2">
        <v>207.5</v>
      </c>
      <c r="N356" s="2">
        <v>176.8</v>
      </c>
      <c r="O356" s="2">
        <v>187.7</v>
      </c>
      <c r="P356" s="2">
        <v>174.4</v>
      </c>
      <c r="Q356" s="2">
        <v>195.9</v>
      </c>
      <c r="R356" s="2">
        <v>188.1</v>
      </c>
      <c r="S356" s="2">
        <v>185.9</v>
      </c>
      <c r="T356" s="2">
        <v>187.8</v>
      </c>
      <c r="U356" s="2">
        <f>AVERAGE(U357,U358)</f>
        <v>170.7</v>
      </c>
      <c r="V356" s="2">
        <v>182.8</v>
      </c>
      <c r="W356" s="2">
        <v>176.4</v>
      </c>
      <c r="X356" s="2">
        <v>183.5</v>
      </c>
      <c r="Y356" s="2">
        <v>167.8</v>
      </c>
      <c r="Z356" s="2">
        <v>171.2</v>
      </c>
      <c r="AA356" s="2">
        <v>177.3</v>
      </c>
      <c r="AB356" s="2">
        <v>175.7</v>
      </c>
      <c r="AC356" s="2">
        <v>175.5</v>
      </c>
      <c r="AD356" s="2">
        <v>177.1</v>
      </c>
      <c r="AE356" s="2">
        <f t="shared" si="73"/>
        <v>2277.1</v>
      </c>
      <c r="AF356" s="2">
        <f t="shared" si="74"/>
        <v>561.79999999999995</v>
      </c>
      <c r="AG356" s="2">
        <f t="shared" si="75"/>
        <v>347.1</v>
      </c>
      <c r="AH356" s="2">
        <f t="shared" si="76"/>
        <v>182.8</v>
      </c>
      <c r="AI356" s="2">
        <f t="shared" si="77"/>
        <v>1246.9000000000001</v>
      </c>
      <c r="AJ356" s="2">
        <f t="shared" si="78"/>
        <v>175.16153846153844</v>
      </c>
      <c r="AK356" s="2">
        <f t="shared" si="79"/>
        <v>187.26666666666665</v>
      </c>
      <c r="AL356" s="2">
        <f t="shared" si="80"/>
        <v>173.55</v>
      </c>
      <c r="AM356" s="2">
        <f t="shared" si="81"/>
        <v>182.8</v>
      </c>
      <c r="AN356" s="2">
        <f t="shared" si="82"/>
        <v>178.12857142857143</v>
      </c>
    </row>
    <row r="357" spans="1:40" x14ac:dyDescent="0.3">
      <c r="A357" t="s">
        <v>32</v>
      </c>
      <c r="B357">
        <v>2022</v>
      </c>
      <c r="C357" t="s">
        <v>45</v>
      </c>
      <c r="D357" s="2">
        <v>170.2</v>
      </c>
      <c r="E357" s="2">
        <v>212.9</v>
      </c>
      <c r="F357" s="2">
        <v>191.9</v>
      </c>
      <c r="G357" s="2">
        <v>173.9</v>
      </c>
      <c r="H357" s="2">
        <v>179.1</v>
      </c>
      <c r="I357" s="2">
        <v>159.5</v>
      </c>
      <c r="J357" s="2">
        <v>178.7</v>
      </c>
      <c r="K357" s="2">
        <v>171.3</v>
      </c>
      <c r="L357" s="2">
        <v>123.1</v>
      </c>
      <c r="M357" s="2">
        <v>200.5</v>
      </c>
      <c r="N357" s="2">
        <v>162.80000000000001</v>
      </c>
      <c r="O357" s="2">
        <v>193.3</v>
      </c>
      <c r="P357" s="2">
        <v>178.6</v>
      </c>
      <c r="Q357" s="2">
        <v>201.1</v>
      </c>
      <c r="R357" s="2">
        <v>177.7</v>
      </c>
      <c r="S357" s="2">
        <v>164.5</v>
      </c>
      <c r="T357" s="2">
        <v>175.7</v>
      </c>
      <c r="U357" s="2">
        <v>170.7</v>
      </c>
      <c r="V357" s="2">
        <v>180.6</v>
      </c>
      <c r="W357" s="2">
        <v>167.3</v>
      </c>
      <c r="X357" s="2">
        <v>177.2</v>
      </c>
      <c r="Y357" s="2">
        <v>159.4</v>
      </c>
      <c r="Z357" s="2">
        <v>167.1</v>
      </c>
      <c r="AA357" s="2">
        <v>171.8</v>
      </c>
      <c r="AB357" s="2">
        <v>176</v>
      </c>
      <c r="AC357" s="2">
        <v>168.2</v>
      </c>
      <c r="AD357" s="2">
        <v>174.1</v>
      </c>
      <c r="AE357" s="2">
        <f t="shared" si="73"/>
        <v>2295.7999999999997</v>
      </c>
      <c r="AF357" s="2">
        <f t="shared" si="74"/>
        <v>517.9</v>
      </c>
      <c r="AG357" s="2">
        <f t="shared" si="75"/>
        <v>338</v>
      </c>
      <c r="AH357" s="2">
        <f t="shared" si="76"/>
        <v>180.6</v>
      </c>
      <c r="AI357" s="2">
        <f t="shared" si="77"/>
        <v>1220.8</v>
      </c>
      <c r="AJ357" s="2">
        <f t="shared" si="78"/>
        <v>176.59999999999997</v>
      </c>
      <c r="AK357" s="2">
        <f t="shared" si="79"/>
        <v>172.63333333333333</v>
      </c>
      <c r="AL357" s="2">
        <f t="shared" si="80"/>
        <v>169</v>
      </c>
      <c r="AM357" s="2">
        <f t="shared" si="81"/>
        <v>180.6</v>
      </c>
      <c r="AN357" s="2">
        <f t="shared" si="82"/>
        <v>174.4</v>
      </c>
    </row>
    <row r="358" spans="1:40" x14ac:dyDescent="0.3">
      <c r="A358" t="s">
        <v>33</v>
      </c>
      <c r="B358">
        <v>2022</v>
      </c>
      <c r="C358" t="s">
        <v>45</v>
      </c>
      <c r="D358" s="2">
        <v>169.2</v>
      </c>
      <c r="E358" s="2">
        <v>209</v>
      </c>
      <c r="F358" s="2">
        <v>190.2</v>
      </c>
      <c r="G358" s="2">
        <v>173.6</v>
      </c>
      <c r="H358" s="2">
        <v>188.5</v>
      </c>
      <c r="I358" s="2">
        <v>158</v>
      </c>
      <c r="J358" s="2">
        <v>159.9</v>
      </c>
      <c r="K358" s="2">
        <v>170.8</v>
      </c>
      <c r="L358" s="2">
        <v>121.8</v>
      </c>
      <c r="M358" s="2">
        <v>205.2</v>
      </c>
      <c r="N358" s="2">
        <v>171</v>
      </c>
      <c r="O358" s="2">
        <v>190.3</v>
      </c>
      <c r="P358" s="2">
        <v>175.9</v>
      </c>
      <c r="Q358" s="2">
        <v>197.3</v>
      </c>
      <c r="R358" s="2">
        <v>184</v>
      </c>
      <c r="S358" s="2">
        <v>177</v>
      </c>
      <c r="T358" s="2">
        <v>183</v>
      </c>
      <c r="U358" s="2">
        <v>170.7</v>
      </c>
      <c r="V358" s="2">
        <v>182</v>
      </c>
      <c r="W358" s="2">
        <v>172.1</v>
      </c>
      <c r="X358" s="2">
        <v>181.1</v>
      </c>
      <c r="Y358" s="2">
        <v>163.4</v>
      </c>
      <c r="Z358" s="2">
        <v>168.9</v>
      </c>
      <c r="AA358" s="2">
        <v>174.1</v>
      </c>
      <c r="AB358" s="2">
        <v>175.8</v>
      </c>
      <c r="AC358" s="2">
        <v>172</v>
      </c>
      <c r="AD358" s="2">
        <v>175.7</v>
      </c>
      <c r="AE358" s="2">
        <f t="shared" si="73"/>
        <v>2283.4</v>
      </c>
      <c r="AF358" s="2">
        <f t="shared" si="74"/>
        <v>544</v>
      </c>
      <c r="AG358" s="2">
        <f t="shared" si="75"/>
        <v>342.79999999999995</v>
      </c>
      <c r="AH358" s="2">
        <f t="shared" si="76"/>
        <v>182</v>
      </c>
      <c r="AI358" s="2">
        <f t="shared" si="77"/>
        <v>1232.5999999999999</v>
      </c>
      <c r="AJ358" s="2">
        <f t="shared" si="78"/>
        <v>175.64615384615385</v>
      </c>
      <c r="AK358" s="2">
        <f t="shared" si="79"/>
        <v>181.33333333333334</v>
      </c>
      <c r="AL358" s="2">
        <f t="shared" si="80"/>
        <v>171.39999999999998</v>
      </c>
      <c r="AM358" s="2">
        <f t="shared" si="81"/>
        <v>182</v>
      </c>
      <c r="AN358" s="2">
        <f t="shared" si="82"/>
        <v>176.08571428571426</v>
      </c>
    </row>
    <row r="359" spans="1:40" x14ac:dyDescent="0.3">
      <c r="A359" t="s">
        <v>30</v>
      </c>
      <c r="B359">
        <v>2023</v>
      </c>
      <c r="C359" t="s">
        <v>31</v>
      </c>
      <c r="D359" s="2">
        <v>174</v>
      </c>
      <c r="E359" s="2">
        <v>208.3</v>
      </c>
      <c r="F359" s="2">
        <v>192.9</v>
      </c>
      <c r="G359" s="2">
        <v>174.3</v>
      </c>
      <c r="H359" s="2">
        <v>192.6</v>
      </c>
      <c r="I359" s="2">
        <v>156.30000000000001</v>
      </c>
      <c r="J359" s="2">
        <v>142.9</v>
      </c>
      <c r="K359" s="2">
        <v>170.7</v>
      </c>
      <c r="L359" s="2">
        <v>120.3</v>
      </c>
      <c r="M359" s="2">
        <v>210.5</v>
      </c>
      <c r="N359" s="2">
        <v>176.9</v>
      </c>
      <c r="O359" s="2">
        <v>188.5</v>
      </c>
      <c r="P359" s="2">
        <v>175</v>
      </c>
      <c r="Q359" s="2">
        <v>196.9</v>
      </c>
      <c r="R359" s="2">
        <v>189</v>
      </c>
      <c r="S359" s="2">
        <v>186.3</v>
      </c>
      <c r="T359" s="2">
        <v>188.6</v>
      </c>
      <c r="U359" s="2">
        <f>AVERAGE(U360,U361)</f>
        <v>172.1</v>
      </c>
      <c r="V359" s="2">
        <v>183.2</v>
      </c>
      <c r="W359" s="2">
        <v>177.2</v>
      </c>
      <c r="X359" s="2">
        <v>184.7</v>
      </c>
      <c r="Y359" s="2">
        <v>168.2</v>
      </c>
      <c r="Z359" s="2">
        <v>171.8</v>
      </c>
      <c r="AA359" s="2">
        <v>177.8</v>
      </c>
      <c r="AB359" s="2">
        <v>178.4</v>
      </c>
      <c r="AC359" s="2">
        <v>176.5</v>
      </c>
      <c r="AD359" s="2">
        <v>177.8</v>
      </c>
      <c r="AE359" s="2">
        <f t="shared" si="73"/>
        <v>2283.2000000000003</v>
      </c>
      <c r="AF359" s="2">
        <f t="shared" si="74"/>
        <v>563.9</v>
      </c>
      <c r="AG359" s="2">
        <f t="shared" si="75"/>
        <v>349.29999999999995</v>
      </c>
      <c r="AH359" s="2">
        <f t="shared" si="76"/>
        <v>183.2</v>
      </c>
      <c r="AI359" s="2">
        <f t="shared" si="77"/>
        <v>1254.3000000000002</v>
      </c>
      <c r="AJ359" s="2">
        <f t="shared" si="78"/>
        <v>175.63076923076926</v>
      </c>
      <c r="AK359" s="2">
        <f t="shared" si="79"/>
        <v>187.96666666666667</v>
      </c>
      <c r="AL359" s="2">
        <f t="shared" si="80"/>
        <v>174.64999999999998</v>
      </c>
      <c r="AM359" s="2">
        <f t="shared" si="81"/>
        <v>183.2</v>
      </c>
      <c r="AN359" s="2">
        <f t="shared" si="82"/>
        <v>179.18571428571431</v>
      </c>
    </row>
    <row r="360" spans="1:40" x14ac:dyDescent="0.3">
      <c r="A360" t="s">
        <v>32</v>
      </c>
      <c r="B360">
        <v>2023</v>
      </c>
      <c r="C360" t="s">
        <v>31</v>
      </c>
      <c r="D360" s="2">
        <v>173.3</v>
      </c>
      <c r="E360" s="2">
        <v>215.2</v>
      </c>
      <c r="F360" s="2">
        <v>197</v>
      </c>
      <c r="G360" s="2">
        <v>175.2</v>
      </c>
      <c r="H360" s="2">
        <v>178</v>
      </c>
      <c r="I360" s="2">
        <v>160.5</v>
      </c>
      <c r="J360" s="2">
        <v>175.3</v>
      </c>
      <c r="K360" s="2">
        <v>171.2</v>
      </c>
      <c r="L360" s="2">
        <v>122.7</v>
      </c>
      <c r="M360" s="2">
        <v>204.3</v>
      </c>
      <c r="N360" s="2">
        <v>163.69999999999999</v>
      </c>
      <c r="O360" s="2">
        <v>194.3</v>
      </c>
      <c r="P360" s="2">
        <v>179.5</v>
      </c>
      <c r="Q360" s="2">
        <v>201.6</v>
      </c>
      <c r="R360" s="2">
        <v>178.7</v>
      </c>
      <c r="S360" s="2">
        <v>165.3</v>
      </c>
      <c r="T360" s="2">
        <v>176.6</v>
      </c>
      <c r="U360" s="2">
        <v>172.1</v>
      </c>
      <c r="V360" s="2">
        <v>180.1</v>
      </c>
      <c r="W360" s="2">
        <v>168</v>
      </c>
      <c r="X360" s="2">
        <v>178.5</v>
      </c>
      <c r="Y360" s="2">
        <v>159.5</v>
      </c>
      <c r="Z360" s="2">
        <v>167.8</v>
      </c>
      <c r="AA360" s="2">
        <v>171.8</v>
      </c>
      <c r="AB360" s="2">
        <v>178.8</v>
      </c>
      <c r="AC360" s="2">
        <v>168.9</v>
      </c>
      <c r="AD360" s="2">
        <v>174.9</v>
      </c>
      <c r="AE360" s="2">
        <f t="shared" si="73"/>
        <v>2310.2000000000003</v>
      </c>
      <c r="AF360" s="2">
        <f t="shared" si="74"/>
        <v>520.6</v>
      </c>
      <c r="AG360" s="2">
        <f t="shared" si="75"/>
        <v>340.1</v>
      </c>
      <c r="AH360" s="2">
        <f t="shared" si="76"/>
        <v>180.1</v>
      </c>
      <c r="AI360" s="2">
        <f t="shared" si="77"/>
        <v>1226.9000000000001</v>
      </c>
      <c r="AJ360" s="2">
        <f t="shared" si="78"/>
        <v>177.70769230769233</v>
      </c>
      <c r="AK360" s="2">
        <f t="shared" si="79"/>
        <v>173.53333333333333</v>
      </c>
      <c r="AL360" s="2">
        <f t="shared" si="80"/>
        <v>170.05</v>
      </c>
      <c r="AM360" s="2">
        <f t="shared" si="81"/>
        <v>180.1</v>
      </c>
      <c r="AN360" s="2">
        <f t="shared" si="82"/>
        <v>175.27142857142857</v>
      </c>
    </row>
    <row r="361" spans="1:40" x14ac:dyDescent="0.3">
      <c r="A361" t="s">
        <v>33</v>
      </c>
      <c r="B361">
        <v>2023</v>
      </c>
      <c r="C361" t="s">
        <v>31</v>
      </c>
      <c r="D361" s="2">
        <v>173.8</v>
      </c>
      <c r="E361" s="2">
        <v>210.7</v>
      </c>
      <c r="F361" s="2">
        <v>194.5</v>
      </c>
      <c r="G361" s="2">
        <v>174.6</v>
      </c>
      <c r="H361" s="2">
        <v>187.2</v>
      </c>
      <c r="I361" s="2">
        <v>158.30000000000001</v>
      </c>
      <c r="J361" s="2">
        <v>153.9</v>
      </c>
      <c r="K361" s="2">
        <v>170.9</v>
      </c>
      <c r="L361" s="2">
        <v>121.1</v>
      </c>
      <c r="M361" s="2">
        <v>208.4</v>
      </c>
      <c r="N361" s="2">
        <v>171.4</v>
      </c>
      <c r="O361" s="2">
        <v>191.2</v>
      </c>
      <c r="P361" s="2">
        <v>176.7</v>
      </c>
      <c r="Q361" s="2">
        <v>198.2</v>
      </c>
      <c r="R361" s="2">
        <v>184.9</v>
      </c>
      <c r="S361" s="2">
        <v>177.6</v>
      </c>
      <c r="T361" s="2">
        <v>183.8</v>
      </c>
      <c r="U361" s="2">
        <v>172.1</v>
      </c>
      <c r="V361" s="2">
        <v>182</v>
      </c>
      <c r="W361" s="2">
        <v>172.9</v>
      </c>
      <c r="X361" s="2">
        <v>182.3</v>
      </c>
      <c r="Y361" s="2">
        <v>163.6</v>
      </c>
      <c r="Z361" s="2">
        <v>169.5</v>
      </c>
      <c r="AA361" s="2">
        <v>174.3</v>
      </c>
      <c r="AB361" s="2">
        <v>178.6</v>
      </c>
      <c r="AC361" s="2">
        <v>172.8</v>
      </c>
      <c r="AD361" s="2">
        <v>176.5</v>
      </c>
      <c r="AE361" s="2">
        <f t="shared" si="73"/>
        <v>2292.6999999999998</v>
      </c>
      <c r="AF361" s="2">
        <f t="shared" si="74"/>
        <v>546.29999999999995</v>
      </c>
      <c r="AG361" s="2">
        <f t="shared" si="75"/>
        <v>345</v>
      </c>
      <c r="AH361" s="2">
        <f t="shared" si="76"/>
        <v>182</v>
      </c>
      <c r="AI361" s="2">
        <f t="shared" si="77"/>
        <v>1239.3000000000002</v>
      </c>
      <c r="AJ361" s="2">
        <f t="shared" si="78"/>
        <v>176.36153846153846</v>
      </c>
      <c r="AK361" s="2">
        <f t="shared" si="79"/>
        <v>182.1</v>
      </c>
      <c r="AL361" s="2">
        <f t="shared" si="80"/>
        <v>172.5</v>
      </c>
      <c r="AM361" s="2">
        <f t="shared" si="81"/>
        <v>182</v>
      </c>
      <c r="AN361" s="2">
        <f t="shared" si="82"/>
        <v>177.04285714285717</v>
      </c>
    </row>
    <row r="362" spans="1:40" x14ac:dyDescent="0.3">
      <c r="A362" t="s">
        <v>30</v>
      </c>
      <c r="B362">
        <v>2023</v>
      </c>
      <c r="C362" t="s">
        <v>34</v>
      </c>
      <c r="D362" s="2">
        <v>174.2</v>
      </c>
      <c r="E362" s="2">
        <v>205.2</v>
      </c>
      <c r="F362" s="2">
        <v>173.9</v>
      </c>
      <c r="G362" s="2">
        <v>177</v>
      </c>
      <c r="H362" s="2">
        <v>183.4</v>
      </c>
      <c r="I362" s="2">
        <v>167.2</v>
      </c>
      <c r="J362" s="2">
        <v>140.9</v>
      </c>
      <c r="K362" s="2">
        <v>170.4</v>
      </c>
      <c r="L362" s="2">
        <v>119.1</v>
      </c>
      <c r="M362" s="2">
        <v>212.1</v>
      </c>
      <c r="N362" s="2">
        <v>177.6</v>
      </c>
      <c r="O362" s="2">
        <v>189.9</v>
      </c>
      <c r="P362" s="2">
        <v>174.8</v>
      </c>
      <c r="Q362" s="2">
        <v>198.3</v>
      </c>
      <c r="R362" s="2">
        <v>190</v>
      </c>
      <c r="S362" s="2">
        <v>187</v>
      </c>
      <c r="T362" s="2">
        <v>189.6</v>
      </c>
      <c r="U362" s="2">
        <f>AVERAGE(U363,U364)</f>
        <v>173.5</v>
      </c>
      <c r="V362" s="2">
        <v>181.6</v>
      </c>
      <c r="W362" s="2">
        <v>178.6</v>
      </c>
      <c r="X362" s="2">
        <v>186.6</v>
      </c>
      <c r="Y362" s="2">
        <v>169</v>
      </c>
      <c r="Z362" s="2">
        <v>172.8</v>
      </c>
      <c r="AA362" s="2">
        <v>178.5</v>
      </c>
      <c r="AB362" s="2">
        <v>180.7</v>
      </c>
      <c r="AC362" s="2">
        <v>177.9</v>
      </c>
      <c r="AD362" s="2">
        <v>178</v>
      </c>
      <c r="AE362" s="2">
        <f t="shared" si="73"/>
        <v>2265.6999999999998</v>
      </c>
      <c r="AF362" s="2">
        <f t="shared" si="74"/>
        <v>566.6</v>
      </c>
      <c r="AG362" s="2">
        <f t="shared" si="75"/>
        <v>352.1</v>
      </c>
      <c r="AH362" s="2">
        <f t="shared" si="76"/>
        <v>181.6</v>
      </c>
      <c r="AI362" s="2">
        <f t="shared" si="77"/>
        <v>1263.8000000000002</v>
      </c>
      <c r="AJ362" s="2">
        <f t="shared" si="78"/>
        <v>174.28461538461536</v>
      </c>
      <c r="AK362" s="2">
        <f t="shared" si="79"/>
        <v>188.86666666666667</v>
      </c>
      <c r="AL362" s="2">
        <f t="shared" si="80"/>
        <v>176.05</v>
      </c>
      <c r="AM362" s="2">
        <f t="shared" si="81"/>
        <v>181.6</v>
      </c>
      <c r="AN362" s="2">
        <f t="shared" si="82"/>
        <v>180.54285714285717</v>
      </c>
    </row>
    <row r="363" spans="1:40" x14ac:dyDescent="0.3">
      <c r="A363" t="s">
        <v>32</v>
      </c>
      <c r="B363">
        <v>2023</v>
      </c>
      <c r="C363" t="s">
        <v>34</v>
      </c>
      <c r="D363" s="2">
        <v>174.7</v>
      </c>
      <c r="E363" s="2">
        <v>212.2</v>
      </c>
      <c r="F363" s="2">
        <v>177.2</v>
      </c>
      <c r="G363" s="2">
        <v>177.9</v>
      </c>
      <c r="H363" s="2">
        <v>172.2</v>
      </c>
      <c r="I363" s="2">
        <v>172.1</v>
      </c>
      <c r="J363" s="2">
        <v>175.8</v>
      </c>
      <c r="K363" s="2">
        <v>172.2</v>
      </c>
      <c r="L363" s="2">
        <v>121.9</v>
      </c>
      <c r="M363" s="2">
        <v>204.8</v>
      </c>
      <c r="N363" s="2">
        <v>164.9</v>
      </c>
      <c r="O363" s="2">
        <v>196.6</v>
      </c>
      <c r="P363" s="2">
        <v>180.7</v>
      </c>
      <c r="Q363" s="2">
        <v>202.7</v>
      </c>
      <c r="R363" s="2">
        <v>180.3</v>
      </c>
      <c r="S363" s="2">
        <v>167</v>
      </c>
      <c r="T363" s="2">
        <v>178.2</v>
      </c>
      <c r="U363" s="2">
        <v>173.5</v>
      </c>
      <c r="V363" s="2">
        <v>182.8</v>
      </c>
      <c r="W363" s="2">
        <v>169.2</v>
      </c>
      <c r="X363" s="2">
        <v>180.8</v>
      </c>
      <c r="Y363" s="2">
        <v>159.80000000000001</v>
      </c>
      <c r="Z363" s="2">
        <v>168.4</v>
      </c>
      <c r="AA363" s="2">
        <v>172.5</v>
      </c>
      <c r="AB363" s="2">
        <v>181.4</v>
      </c>
      <c r="AC363" s="2">
        <v>170</v>
      </c>
      <c r="AD363" s="2">
        <v>176.3</v>
      </c>
      <c r="AE363" s="2">
        <f t="shared" si="73"/>
        <v>2303.1999999999998</v>
      </c>
      <c r="AF363" s="2">
        <f t="shared" si="74"/>
        <v>525.5</v>
      </c>
      <c r="AG363" s="2">
        <f t="shared" si="75"/>
        <v>342.7</v>
      </c>
      <c r="AH363" s="2">
        <f t="shared" si="76"/>
        <v>182.8</v>
      </c>
      <c r="AI363" s="2">
        <f t="shared" si="77"/>
        <v>1235.6000000000001</v>
      </c>
      <c r="AJ363" s="2">
        <f t="shared" si="78"/>
        <v>177.16923076923075</v>
      </c>
      <c r="AK363" s="2">
        <f t="shared" si="79"/>
        <v>175.16666666666666</v>
      </c>
      <c r="AL363" s="2">
        <f t="shared" si="80"/>
        <v>171.35</v>
      </c>
      <c r="AM363" s="2">
        <f t="shared" si="81"/>
        <v>182.8</v>
      </c>
      <c r="AN363" s="2">
        <f t="shared" si="82"/>
        <v>176.51428571428573</v>
      </c>
    </row>
    <row r="364" spans="1:40" x14ac:dyDescent="0.3">
      <c r="A364" t="s">
        <v>33</v>
      </c>
      <c r="B364">
        <v>2023</v>
      </c>
      <c r="C364" t="s">
        <v>34</v>
      </c>
      <c r="D364" s="2">
        <v>174.4</v>
      </c>
      <c r="E364" s="2">
        <v>207.7</v>
      </c>
      <c r="F364" s="2">
        <v>175.2</v>
      </c>
      <c r="G364" s="2">
        <v>177.3</v>
      </c>
      <c r="H364" s="2">
        <v>179.3</v>
      </c>
      <c r="I364" s="2">
        <v>169.5</v>
      </c>
      <c r="J364" s="2">
        <v>152.69999999999999</v>
      </c>
      <c r="K364" s="2">
        <v>171</v>
      </c>
      <c r="L364" s="2">
        <v>120</v>
      </c>
      <c r="M364" s="2">
        <v>209.7</v>
      </c>
      <c r="N364" s="2">
        <v>172.3</v>
      </c>
      <c r="O364" s="2">
        <v>193</v>
      </c>
      <c r="P364" s="2">
        <v>177</v>
      </c>
      <c r="Q364" s="2">
        <v>199.5</v>
      </c>
      <c r="R364" s="2">
        <v>186.2</v>
      </c>
      <c r="S364" s="2">
        <v>178.7</v>
      </c>
      <c r="T364" s="2">
        <v>185.1</v>
      </c>
      <c r="U364" s="2">
        <v>173.5</v>
      </c>
      <c r="V364" s="2">
        <v>182.1</v>
      </c>
      <c r="W364" s="2">
        <v>174.2</v>
      </c>
      <c r="X364" s="2">
        <v>184.4</v>
      </c>
      <c r="Y364" s="2">
        <v>164.2</v>
      </c>
      <c r="Z364" s="2">
        <v>170.3</v>
      </c>
      <c r="AA364" s="2">
        <v>175</v>
      </c>
      <c r="AB364" s="2">
        <v>181</v>
      </c>
      <c r="AC364" s="2">
        <v>174.1</v>
      </c>
      <c r="AD364" s="2">
        <v>177.2</v>
      </c>
      <c r="AE364" s="2">
        <f t="shared" si="73"/>
        <v>2279.1</v>
      </c>
      <c r="AF364" s="2">
        <f t="shared" si="74"/>
        <v>550</v>
      </c>
      <c r="AG364" s="2">
        <f t="shared" si="75"/>
        <v>347.7</v>
      </c>
      <c r="AH364" s="2">
        <f t="shared" si="76"/>
        <v>182.1</v>
      </c>
      <c r="AI364" s="2">
        <f t="shared" si="77"/>
        <v>1248.5</v>
      </c>
      <c r="AJ364" s="2">
        <f t="shared" si="78"/>
        <v>175.3153846153846</v>
      </c>
      <c r="AK364" s="2">
        <f t="shared" si="79"/>
        <v>183.33333333333334</v>
      </c>
      <c r="AL364" s="2">
        <f t="shared" si="80"/>
        <v>173.85</v>
      </c>
      <c r="AM364" s="2">
        <f t="shared" si="81"/>
        <v>182.1</v>
      </c>
      <c r="AN364" s="2">
        <f t="shared" si="82"/>
        <v>178.35714285714286</v>
      </c>
    </row>
    <row r="365" spans="1:40" x14ac:dyDescent="0.3">
      <c r="A365" t="s">
        <v>30</v>
      </c>
      <c r="B365">
        <v>2023</v>
      </c>
      <c r="C365" t="s">
        <v>35</v>
      </c>
      <c r="D365" s="2">
        <v>174.3</v>
      </c>
      <c r="E365" s="2">
        <v>205.2</v>
      </c>
      <c r="F365" s="2">
        <v>173.9</v>
      </c>
      <c r="G365" s="2">
        <v>177</v>
      </c>
      <c r="H365" s="2">
        <v>183.3</v>
      </c>
      <c r="I365" s="2">
        <v>167.2</v>
      </c>
      <c r="J365" s="2">
        <v>140.9</v>
      </c>
      <c r="K365" s="2">
        <v>170.5</v>
      </c>
      <c r="L365" s="2">
        <v>119.1</v>
      </c>
      <c r="M365" s="2">
        <v>212.1</v>
      </c>
      <c r="N365" s="2">
        <v>177.6</v>
      </c>
      <c r="O365" s="2">
        <v>189.9</v>
      </c>
      <c r="P365" s="2">
        <v>174.8</v>
      </c>
      <c r="Q365" s="2">
        <v>198.4</v>
      </c>
      <c r="R365" s="2">
        <v>190</v>
      </c>
      <c r="S365" s="2">
        <v>187</v>
      </c>
      <c r="T365" s="2">
        <v>189.6</v>
      </c>
      <c r="U365" s="2">
        <f>AVERAGE(U366,U367)</f>
        <v>173.5</v>
      </c>
      <c r="V365" s="2">
        <v>181.4</v>
      </c>
      <c r="W365" s="2">
        <v>178.6</v>
      </c>
      <c r="X365" s="2">
        <v>186.6</v>
      </c>
      <c r="Y365" s="2">
        <v>169</v>
      </c>
      <c r="Z365" s="2">
        <v>172.8</v>
      </c>
      <c r="AA365" s="2">
        <v>178.5</v>
      </c>
      <c r="AB365" s="2">
        <v>180.7</v>
      </c>
      <c r="AC365" s="2">
        <v>177.9</v>
      </c>
      <c r="AD365" s="2">
        <v>178</v>
      </c>
      <c r="AE365" s="2">
        <f t="shared" si="73"/>
        <v>2265.8000000000002</v>
      </c>
      <c r="AF365" s="2">
        <f t="shared" si="74"/>
        <v>566.6</v>
      </c>
      <c r="AG365" s="2">
        <f t="shared" si="75"/>
        <v>352.1</v>
      </c>
      <c r="AH365" s="2">
        <f t="shared" si="76"/>
        <v>181.4</v>
      </c>
      <c r="AI365" s="2">
        <f t="shared" si="77"/>
        <v>1263.9000000000003</v>
      </c>
      <c r="AJ365" s="2">
        <f t="shared" si="78"/>
        <v>174.2923076923077</v>
      </c>
      <c r="AK365" s="2">
        <f t="shared" si="79"/>
        <v>188.86666666666667</v>
      </c>
      <c r="AL365" s="2">
        <f t="shared" si="80"/>
        <v>176.05</v>
      </c>
      <c r="AM365" s="2">
        <f t="shared" si="81"/>
        <v>181.4</v>
      </c>
      <c r="AN365" s="2">
        <f t="shared" si="82"/>
        <v>180.55714285714291</v>
      </c>
    </row>
    <row r="366" spans="1:40" x14ac:dyDescent="0.3">
      <c r="A366" t="s">
        <v>32</v>
      </c>
      <c r="B366">
        <v>2023</v>
      </c>
      <c r="C366" t="s">
        <v>35</v>
      </c>
      <c r="D366" s="2">
        <v>174.7</v>
      </c>
      <c r="E366" s="2">
        <v>212.2</v>
      </c>
      <c r="F366" s="2">
        <v>177.2</v>
      </c>
      <c r="G366" s="2">
        <v>177.9</v>
      </c>
      <c r="H366" s="2">
        <v>172.2</v>
      </c>
      <c r="I366" s="2">
        <v>172.1</v>
      </c>
      <c r="J366" s="2">
        <v>175.9</v>
      </c>
      <c r="K366" s="2">
        <v>172.2</v>
      </c>
      <c r="L366" s="2">
        <v>121.9</v>
      </c>
      <c r="M366" s="2">
        <v>204.8</v>
      </c>
      <c r="N366" s="2">
        <v>164.9</v>
      </c>
      <c r="O366" s="2">
        <v>196.6</v>
      </c>
      <c r="P366" s="2">
        <v>180.8</v>
      </c>
      <c r="Q366" s="2">
        <v>202.7</v>
      </c>
      <c r="R366" s="2">
        <v>180.2</v>
      </c>
      <c r="S366" s="2">
        <v>167</v>
      </c>
      <c r="T366" s="2">
        <v>178.2</v>
      </c>
      <c r="U366" s="2">
        <v>173.5</v>
      </c>
      <c r="V366" s="2">
        <v>182.6</v>
      </c>
      <c r="W366" s="2">
        <v>169.2</v>
      </c>
      <c r="X366" s="2">
        <v>180.8</v>
      </c>
      <c r="Y366" s="2">
        <v>159.80000000000001</v>
      </c>
      <c r="Z366" s="2">
        <v>168.4</v>
      </c>
      <c r="AA366" s="2">
        <v>172.5</v>
      </c>
      <c r="AB366" s="2">
        <v>181.5</v>
      </c>
      <c r="AC366" s="2">
        <v>170</v>
      </c>
      <c r="AD366" s="2">
        <v>176.3</v>
      </c>
      <c r="AE366" s="2">
        <f t="shared" si="73"/>
        <v>2303.4</v>
      </c>
      <c r="AF366" s="2">
        <f t="shared" si="74"/>
        <v>525.4</v>
      </c>
      <c r="AG366" s="2">
        <f t="shared" si="75"/>
        <v>342.7</v>
      </c>
      <c r="AH366" s="2">
        <f t="shared" si="76"/>
        <v>182.6</v>
      </c>
      <c r="AI366" s="2">
        <f t="shared" si="77"/>
        <v>1235.7</v>
      </c>
      <c r="AJ366" s="2">
        <f t="shared" si="78"/>
        <v>177.1846153846154</v>
      </c>
      <c r="AK366" s="2">
        <f t="shared" si="79"/>
        <v>175.13333333333333</v>
      </c>
      <c r="AL366" s="2">
        <f t="shared" si="80"/>
        <v>171.35</v>
      </c>
      <c r="AM366" s="2">
        <f t="shared" si="81"/>
        <v>182.6</v>
      </c>
      <c r="AN366" s="2">
        <f t="shared" si="82"/>
        <v>176.52857142857144</v>
      </c>
    </row>
    <row r="367" spans="1:40" x14ac:dyDescent="0.3">
      <c r="A367" t="s">
        <v>33</v>
      </c>
      <c r="B367">
        <v>2023</v>
      </c>
      <c r="C367" t="s">
        <v>35</v>
      </c>
      <c r="D367" s="2">
        <v>174.4</v>
      </c>
      <c r="E367" s="2">
        <v>207.7</v>
      </c>
      <c r="F367" s="2">
        <v>175.2</v>
      </c>
      <c r="G367" s="2">
        <v>177.3</v>
      </c>
      <c r="H367" s="2">
        <v>179.2</v>
      </c>
      <c r="I367" s="2">
        <v>169.5</v>
      </c>
      <c r="J367" s="2">
        <v>152.80000000000001</v>
      </c>
      <c r="K367" s="2">
        <v>171.1</v>
      </c>
      <c r="L367" s="2">
        <v>120</v>
      </c>
      <c r="M367" s="2">
        <v>209.7</v>
      </c>
      <c r="N367" s="2">
        <v>172.3</v>
      </c>
      <c r="O367" s="2">
        <v>193</v>
      </c>
      <c r="P367" s="2">
        <v>177</v>
      </c>
      <c r="Q367" s="2">
        <v>199.5</v>
      </c>
      <c r="R367" s="2">
        <v>186.1</v>
      </c>
      <c r="S367" s="2">
        <v>178.7</v>
      </c>
      <c r="T367" s="2">
        <v>185.1</v>
      </c>
      <c r="U367" s="2">
        <v>173.5</v>
      </c>
      <c r="V367" s="2">
        <v>181.9</v>
      </c>
      <c r="W367" s="2">
        <v>174.2</v>
      </c>
      <c r="X367" s="2">
        <v>184.4</v>
      </c>
      <c r="Y367" s="2">
        <v>164.2</v>
      </c>
      <c r="Z367" s="2">
        <v>170.3</v>
      </c>
      <c r="AA367" s="2">
        <v>175</v>
      </c>
      <c r="AB367" s="2">
        <v>181</v>
      </c>
      <c r="AC367" s="2">
        <v>174.1</v>
      </c>
      <c r="AD367" s="2">
        <v>177.2</v>
      </c>
      <c r="AE367" s="2">
        <f t="shared" si="73"/>
        <v>2279.1999999999998</v>
      </c>
      <c r="AF367" s="2">
        <f t="shared" si="74"/>
        <v>549.9</v>
      </c>
      <c r="AG367" s="2">
        <f t="shared" si="75"/>
        <v>347.7</v>
      </c>
      <c r="AH367" s="2">
        <f t="shared" si="76"/>
        <v>181.9</v>
      </c>
      <c r="AI367" s="2">
        <f t="shared" si="77"/>
        <v>1248.5</v>
      </c>
      <c r="AJ367" s="2">
        <f t="shared" si="78"/>
        <v>175.32307692307691</v>
      </c>
      <c r="AK367" s="2">
        <f t="shared" si="79"/>
        <v>183.29999999999998</v>
      </c>
      <c r="AL367" s="2">
        <f t="shared" si="80"/>
        <v>173.85</v>
      </c>
      <c r="AM367" s="2">
        <f t="shared" si="81"/>
        <v>181.9</v>
      </c>
      <c r="AN367" s="2">
        <f t="shared" si="82"/>
        <v>178.35714285714286</v>
      </c>
    </row>
    <row r="368" spans="1:40" x14ac:dyDescent="0.3">
      <c r="A368" t="s">
        <v>30</v>
      </c>
      <c r="B368">
        <v>2023</v>
      </c>
      <c r="C368" t="s">
        <v>36</v>
      </c>
      <c r="D368" s="2">
        <v>173.3</v>
      </c>
      <c r="E368" s="2">
        <v>206.9</v>
      </c>
      <c r="F368" s="2">
        <v>167.9</v>
      </c>
      <c r="G368" s="2">
        <v>178.2</v>
      </c>
      <c r="H368" s="2">
        <v>178.5</v>
      </c>
      <c r="I368" s="2">
        <v>173.7</v>
      </c>
      <c r="J368" s="2">
        <v>142.80000000000001</v>
      </c>
      <c r="K368" s="2">
        <v>172.8</v>
      </c>
      <c r="L368" s="2">
        <v>120.4</v>
      </c>
      <c r="M368" s="2">
        <v>215.5</v>
      </c>
      <c r="N368" s="2">
        <v>178.2</v>
      </c>
      <c r="O368" s="2">
        <v>190.5</v>
      </c>
      <c r="P368" s="2">
        <v>175.5</v>
      </c>
      <c r="Q368" s="2">
        <v>199.5</v>
      </c>
      <c r="R368" s="2">
        <v>190.7</v>
      </c>
      <c r="S368" s="2">
        <v>187.3</v>
      </c>
      <c r="T368" s="2">
        <v>190.2</v>
      </c>
      <c r="U368" s="2">
        <f>AVERAGE(U369,U370)</f>
        <v>175.2</v>
      </c>
      <c r="V368" s="2">
        <v>181.5</v>
      </c>
      <c r="W368" s="2">
        <v>179.1</v>
      </c>
      <c r="X368" s="2">
        <v>187.2</v>
      </c>
      <c r="Y368" s="2">
        <v>169.4</v>
      </c>
      <c r="Z368" s="2">
        <v>173.2</v>
      </c>
      <c r="AA368" s="2">
        <v>179.4</v>
      </c>
      <c r="AB368" s="2">
        <v>183.8</v>
      </c>
      <c r="AC368" s="2">
        <v>178.9</v>
      </c>
      <c r="AD368" s="2">
        <v>178.8</v>
      </c>
      <c r="AE368" s="2">
        <f t="shared" si="73"/>
        <v>2274.1999999999998</v>
      </c>
      <c r="AF368" s="2">
        <f t="shared" si="74"/>
        <v>568.20000000000005</v>
      </c>
      <c r="AG368" s="2">
        <f t="shared" si="75"/>
        <v>354.29999999999995</v>
      </c>
      <c r="AH368" s="2">
        <f t="shared" si="76"/>
        <v>181.5</v>
      </c>
      <c r="AI368" s="2">
        <f t="shared" si="77"/>
        <v>1271.4000000000001</v>
      </c>
      <c r="AJ368" s="2">
        <f t="shared" si="78"/>
        <v>174.93846153846152</v>
      </c>
      <c r="AK368" s="2">
        <f t="shared" si="79"/>
        <v>189.4</v>
      </c>
      <c r="AL368" s="2">
        <f t="shared" si="80"/>
        <v>177.14999999999998</v>
      </c>
      <c r="AM368" s="2">
        <f t="shared" si="81"/>
        <v>181.5</v>
      </c>
      <c r="AN368" s="2">
        <f t="shared" si="82"/>
        <v>181.62857142857143</v>
      </c>
    </row>
    <row r="369" spans="1:40" x14ac:dyDescent="0.3">
      <c r="A369" t="s">
        <v>32</v>
      </c>
      <c r="B369">
        <v>2023</v>
      </c>
      <c r="C369" t="s">
        <v>36</v>
      </c>
      <c r="D369" s="2">
        <v>174.8</v>
      </c>
      <c r="E369" s="2">
        <v>213.7</v>
      </c>
      <c r="F369" s="2">
        <v>172.4</v>
      </c>
      <c r="G369" s="2">
        <v>178.8</v>
      </c>
      <c r="H369" s="2">
        <v>168.7</v>
      </c>
      <c r="I369" s="2">
        <v>179.2</v>
      </c>
      <c r="J369" s="2">
        <v>179.9</v>
      </c>
      <c r="K369" s="2">
        <v>174.7</v>
      </c>
      <c r="L369" s="2">
        <v>123.1</v>
      </c>
      <c r="M369" s="2">
        <v>207.8</v>
      </c>
      <c r="N369" s="2">
        <v>165.5</v>
      </c>
      <c r="O369" s="2">
        <v>197</v>
      </c>
      <c r="P369" s="2">
        <v>182.1</v>
      </c>
      <c r="Q369" s="2">
        <v>203.5</v>
      </c>
      <c r="R369" s="2">
        <v>181</v>
      </c>
      <c r="S369" s="2">
        <v>167.7</v>
      </c>
      <c r="T369" s="2">
        <v>178.9</v>
      </c>
      <c r="U369" s="2">
        <v>175.2</v>
      </c>
      <c r="V369" s="2">
        <v>182.1</v>
      </c>
      <c r="W369" s="2">
        <v>169.6</v>
      </c>
      <c r="X369" s="2">
        <v>181.5</v>
      </c>
      <c r="Y369" s="2">
        <v>160.1</v>
      </c>
      <c r="Z369" s="2">
        <v>168.8</v>
      </c>
      <c r="AA369" s="2">
        <v>174.2</v>
      </c>
      <c r="AB369" s="2">
        <v>184.4</v>
      </c>
      <c r="AC369" s="2">
        <v>170.9</v>
      </c>
      <c r="AD369" s="2">
        <v>177.4</v>
      </c>
      <c r="AE369" s="2">
        <f t="shared" si="73"/>
        <v>2317.7000000000003</v>
      </c>
      <c r="AF369" s="2">
        <f t="shared" si="74"/>
        <v>527.6</v>
      </c>
      <c r="AG369" s="2">
        <f t="shared" si="75"/>
        <v>344.79999999999995</v>
      </c>
      <c r="AH369" s="2">
        <f t="shared" si="76"/>
        <v>182.1</v>
      </c>
      <c r="AI369" s="2">
        <f t="shared" si="77"/>
        <v>1243.4000000000001</v>
      </c>
      <c r="AJ369" s="2">
        <f t="shared" si="78"/>
        <v>178.28461538461539</v>
      </c>
      <c r="AK369" s="2">
        <f t="shared" si="79"/>
        <v>175.86666666666667</v>
      </c>
      <c r="AL369" s="2">
        <f t="shared" si="80"/>
        <v>172.39999999999998</v>
      </c>
      <c r="AM369" s="2">
        <f t="shared" si="81"/>
        <v>182.1</v>
      </c>
      <c r="AN369" s="2">
        <f t="shared" si="82"/>
        <v>177.62857142857143</v>
      </c>
    </row>
    <row r="370" spans="1:40" x14ac:dyDescent="0.3">
      <c r="A370" t="s">
        <v>33</v>
      </c>
      <c r="B370">
        <v>2023</v>
      </c>
      <c r="C370" t="s">
        <v>36</v>
      </c>
      <c r="D370" s="2">
        <v>173.8</v>
      </c>
      <c r="E370" s="2">
        <v>209.3</v>
      </c>
      <c r="F370" s="2">
        <v>169.6</v>
      </c>
      <c r="G370" s="2">
        <v>178.4</v>
      </c>
      <c r="H370" s="2">
        <v>174.9</v>
      </c>
      <c r="I370" s="2">
        <v>176.3</v>
      </c>
      <c r="J370" s="2">
        <v>155.4</v>
      </c>
      <c r="K370" s="2">
        <v>173.4</v>
      </c>
      <c r="L370" s="2">
        <v>121.3</v>
      </c>
      <c r="M370" s="2">
        <v>212.9</v>
      </c>
      <c r="N370" s="2">
        <v>172.9</v>
      </c>
      <c r="O370" s="2">
        <v>193.5</v>
      </c>
      <c r="P370" s="2">
        <v>177.9</v>
      </c>
      <c r="Q370" s="2">
        <v>200.6</v>
      </c>
      <c r="R370" s="2">
        <v>186.9</v>
      </c>
      <c r="S370" s="2">
        <v>179.2</v>
      </c>
      <c r="T370" s="2">
        <v>185.7</v>
      </c>
      <c r="U370" s="2">
        <v>175.2</v>
      </c>
      <c r="V370" s="2">
        <v>181.7</v>
      </c>
      <c r="W370" s="2">
        <v>174.6</v>
      </c>
      <c r="X370" s="2">
        <v>185</v>
      </c>
      <c r="Y370" s="2">
        <v>164.5</v>
      </c>
      <c r="Z370" s="2">
        <v>170.7</v>
      </c>
      <c r="AA370" s="2">
        <v>176.4</v>
      </c>
      <c r="AB370" s="2">
        <v>184</v>
      </c>
      <c r="AC370" s="2">
        <v>175</v>
      </c>
      <c r="AD370" s="2">
        <v>178.1</v>
      </c>
      <c r="AE370" s="2">
        <f t="shared" si="73"/>
        <v>2289.6000000000004</v>
      </c>
      <c r="AF370" s="2">
        <f t="shared" si="74"/>
        <v>551.79999999999995</v>
      </c>
      <c r="AG370" s="2">
        <f t="shared" si="75"/>
        <v>349.79999999999995</v>
      </c>
      <c r="AH370" s="2">
        <f t="shared" si="76"/>
        <v>181.7</v>
      </c>
      <c r="AI370" s="2">
        <f t="shared" si="77"/>
        <v>1256.1999999999998</v>
      </c>
      <c r="AJ370" s="2">
        <f t="shared" si="78"/>
        <v>176.12307692307695</v>
      </c>
      <c r="AK370" s="2">
        <f t="shared" si="79"/>
        <v>183.93333333333331</v>
      </c>
      <c r="AL370" s="2">
        <f t="shared" si="80"/>
        <v>174.89999999999998</v>
      </c>
      <c r="AM370" s="2">
        <f t="shared" si="81"/>
        <v>181.7</v>
      </c>
      <c r="AN370" s="2">
        <f t="shared" si="82"/>
        <v>179.45714285714283</v>
      </c>
    </row>
    <row r="371" spans="1:40" x14ac:dyDescent="0.3">
      <c r="A371" t="s">
        <v>30</v>
      </c>
      <c r="B371">
        <v>2023</v>
      </c>
      <c r="C371" t="s">
        <v>37</v>
      </c>
      <c r="D371" s="2">
        <v>173.2</v>
      </c>
      <c r="E371" s="2">
        <v>211.5</v>
      </c>
      <c r="F371" s="2">
        <v>171</v>
      </c>
      <c r="G371" s="2">
        <v>179.6</v>
      </c>
      <c r="H371" s="2">
        <v>173.3</v>
      </c>
      <c r="I371" s="2">
        <v>169</v>
      </c>
      <c r="J371" s="2">
        <v>148.69999999999999</v>
      </c>
      <c r="K371" s="2">
        <v>174.9</v>
      </c>
      <c r="L371" s="2">
        <v>121.9</v>
      </c>
      <c r="M371" s="2">
        <v>221</v>
      </c>
      <c r="N371" s="2">
        <v>178.7</v>
      </c>
      <c r="O371" s="2">
        <v>191.1</v>
      </c>
      <c r="P371" s="2">
        <v>176.8</v>
      </c>
      <c r="Q371" s="2">
        <v>199.9</v>
      </c>
      <c r="R371" s="2">
        <v>191.2</v>
      </c>
      <c r="S371" s="2">
        <v>187.9</v>
      </c>
      <c r="T371" s="2">
        <v>190.8</v>
      </c>
      <c r="U371" s="2">
        <f>AVERAGE(U372,U373)</f>
        <v>175.6</v>
      </c>
      <c r="V371" s="2">
        <v>182.5</v>
      </c>
      <c r="W371" s="2">
        <v>179.8</v>
      </c>
      <c r="X371" s="2">
        <v>187.8</v>
      </c>
      <c r="Y371" s="2">
        <v>169.7</v>
      </c>
      <c r="Z371" s="2">
        <v>173.8</v>
      </c>
      <c r="AA371" s="2">
        <v>180.3</v>
      </c>
      <c r="AB371" s="2">
        <v>184.9</v>
      </c>
      <c r="AC371" s="2">
        <v>179.5</v>
      </c>
      <c r="AD371" s="2">
        <v>179.8</v>
      </c>
      <c r="AE371" s="2">
        <f t="shared" si="73"/>
        <v>2290.7000000000007</v>
      </c>
      <c r="AF371" s="2">
        <f t="shared" si="74"/>
        <v>569.90000000000009</v>
      </c>
      <c r="AG371" s="2">
        <f t="shared" si="75"/>
        <v>355.4</v>
      </c>
      <c r="AH371" s="2">
        <f t="shared" si="76"/>
        <v>182.5</v>
      </c>
      <c r="AI371" s="2">
        <f t="shared" si="77"/>
        <v>1275.9000000000001</v>
      </c>
      <c r="AJ371" s="2">
        <f t="shared" si="78"/>
        <v>176.20769230769235</v>
      </c>
      <c r="AK371" s="2">
        <f t="shared" si="79"/>
        <v>189.9666666666667</v>
      </c>
      <c r="AL371" s="2">
        <f t="shared" si="80"/>
        <v>177.7</v>
      </c>
      <c r="AM371" s="2">
        <f t="shared" si="81"/>
        <v>182.5</v>
      </c>
      <c r="AN371" s="2">
        <f t="shared" si="82"/>
        <v>182.27142857142857</v>
      </c>
    </row>
    <row r="372" spans="1:40" x14ac:dyDescent="0.3">
      <c r="A372" t="s">
        <v>32</v>
      </c>
      <c r="B372">
        <v>2023</v>
      </c>
      <c r="C372" t="s">
        <v>37</v>
      </c>
      <c r="D372" s="2">
        <v>174.7</v>
      </c>
      <c r="E372" s="2">
        <v>219.4</v>
      </c>
      <c r="F372" s="2">
        <v>176.7</v>
      </c>
      <c r="G372" s="2">
        <v>179.4</v>
      </c>
      <c r="H372" s="2">
        <v>164.4</v>
      </c>
      <c r="I372" s="2">
        <v>175.8</v>
      </c>
      <c r="J372" s="2">
        <v>185</v>
      </c>
      <c r="K372" s="2">
        <v>176.9</v>
      </c>
      <c r="L372" s="2">
        <v>124.2</v>
      </c>
      <c r="M372" s="2">
        <v>211.9</v>
      </c>
      <c r="N372" s="2">
        <v>165.9</v>
      </c>
      <c r="O372" s="2">
        <v>197.7</v>
      </c>
      <c r="P372" s="2">
        <v>183.1</v>
      </c>
      <c r="Q372" s="2">
        <v>204.2</v>
      </c>
      <c r="R372" s="2">
        <v>181.3</v>
      </c>
      <c r="S372" s="2">
        <v>168.1</v>
      </c>
      <c r="T372" s="2">
        <v>179.3</v>
      </c>
      <c r="U372" s="2">
        <v>175.6</v>
      </c>
      <c r="V372" s="2">
        <v>183.4</v>
      </c>
      <c r="W372" s="2">
        <v>170.1</v>
      </c>
      <c r="X372" s="2">
        <v>182.2</v>
      </c>
      <c r="Y372" s="2">
        <v>160.4</v>
      </c>
      <c r="Z372" s="2">
        <v>169.2</v>
      </c>
      <c r="AA372" s="2">
        <v>174.8</v>
      </c>
      <c r="AB372" s="2">
        <v>185.6</v>
      </c>
      <c r="AC372" s="2">
        <v>171.6</v>
      </c>
      <c r="AD372" s="2">
        <v>178.2</v>
      </c>
      <c r="AE372" s="2">
        <f t="shared" si="73"/>
        <v>2335.1</v>
      </c>
      <c r="AF372" s="2">
        <f t="shared" si="74"/>
        <v>528.70000000000005</v>
      </c>
      <c r="AG372" s="2">
        <f t="shared" si="75"/>
        <v>345.7</v>
      </c>
      <c r="AH372" s="2">
        <f t="shared" si="76"/>
        <v>183.4</v>
      </c>
      <c r="AI372" s="2">
        <f t="shared" si="77"/>
        <v>1248</v>
      </c>
      <c r="AJ372" s="2">
        <f t="shared" si="78"/>
        <v>179.62307692307692</v>
      </c>
      <c r="AK372" s="2">
        <f t="shared" si="79"/>
        <v>176.23333333333335</v>
      </c>
      <c r="AL372" s="2">
        <f t="shared" si="80"/>
        <v>172.85</v>
      </c>
      <c r="AM372" s="2">
        <f t="shared" si="81"/>
        <v>183.4</v>
      </c>
      <c r="AN372" s="2">
        <f t="shared" si="82"/>
        <v>178.28571428571428</v>
      </c>
    </row>
    <row r="373" spans="1:40" x14ac:dyDescent="0.3">
      <c r="A373" t="s">
        <v>33</v>
      </c>
      <c r="B373">
        <v>2023</v>
      </c>
      <c r="C373" t="s">
        <v>37</v>
      </c>
      <c r="D373" s="2">
        <v>173.7</v>
      </c>
      <c r="E373" s="2">
        <v>214.3</v>
      </c>
      <c r="F373" s="2">
        <v>173.2</v>
      </c>
      <c r="G373" s="2">
        <v>179.5</v>
      </c>
      <c r="H373" s="2">
        <v>170</v>
      </c>
      <c r="I373" s="2">
        <v>172.2</v>
      </c>
      <c r="J373" s="2">
        <v>161</v>
      </c>
      <c r="K373" s="2">
        <v>175.6</v>
      </c>
      <c r="L373" s="2">
        <v>122.7</v>
      </c>
      <c r="M373" s="2">
        <v>218</v>
      </c>
      <c r="N373" s="2">
        <v>173.4</v>
      </c>
      <c r="O373" s="2">
        <v>194.2</v>
      </c>
      <c r="P373" s="2">
        <v>179.1</v>
      </c>
      <c r="Q373" s="2">
        <v>201</v>
      </c>
      <c r="R373" s="2">
        <v>187.3</v>
      </c>
      <c r="S373" s="2">
        <v>179.7</v>
      </c>
      <c r="T373" s="2">
        <v>186.2</v>
      </c>
      <c r="U373" s="2">
        <v>175.6</v>
      </c>
      <c r="V373" s="2">
        <v>182.8</v>
      </c>
      <c r="W373" s="2">
        <v>175.2</v>
      </c>
      <c r="X373" s="2">
        <v>185.7</v>
      </c>
      <c r="Y373" s="2">
        <v>164.8</v>
      </c>
      <c r="Z373" s="2">
        <v>171.2</v>
      </c>
      <c r="AA373" s="2">
        <v>177.1</v>
      </c>
      <c r="AB373" s="2">
        <v>185.2</v>
      </c>
      <c r="AC373" s="2">
        <v>175.7</v>
      </c>
      <c r="AD373" s="2">
        <v>179.1</v>
      </c>
      <c r="AE373" s="2">
        <f t="shared" si="73"/>
        <v>2306.9</v>
      </c>
      <c r="AF373" s="2">
        <f t="shared" si="74"/>
        <v>553.20000000000005</v>
      </c>
      <c r="AG373" s="2">
        <f t="shared" si="75"/>
        <v>350.79999999999995</v>
      </c>
      <c r="AH373" s="2">
        <f t="shared" si="76"/>
        <v>182.8</v>
      </c>
      <c r="AI373" s="2">
        <f t="shared" si="77"/>
        <v>1260.7</v>
      </c>
      <c r="AJ373" s="2">
        <f t="shared" si="78"/>
        <v>177.45384615384617</v>
      </c>
      <c r="AK373" s="2">
        <f t="shared" si="79"/>
        <v>184.4</v>
      </c>
      <c r="AL373" s="2">
        <f t="shared" si="80"/>
        <v>175.39999999999998</v>
      </c>
      <c r="AM373" s="2">
        <f t="shared" si="81"/>
        <v>182.8</v>
      </c>
      <c r="AN373" s="2">
        <f t="shared" si="82"/>
        <v>180.1</v>
      </c>
    </row>
    <row r="374" spans="1:40" x14ac:dyDescent="0.3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x14ac:dyDescent="0.3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x14ac:dyDescent="0.3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8" spans="1:40" x14ac:dyDescent="0.3">
      <c r="B378" s="57"/>
    </row>
    <row r="379" spans="1:40" x14ac:dyDescent="0.3">
      <c r="B379" s="57"/>
    </row>
    <row r="380" spans="1:40" x14ac:dyDescent="0.3">
      <c r="B380" s="57"/>
    </row>
    <row r="381" spans="1:40" x14ac:dyDescent="0.3">
      <c r="B381" s="57"/>
    </row>
    <row r="382" spans="1:40" x14ac:dyDescent="0.3">
      <c r="B382" s="57"/>
    </row>
    <row r="383" spans="1:40" x14ac:dyDescent="0.3">
      <c r="B383" s="57"/>
    </row>
    <row r="384" spans="1:40" x14ac:dyDescent="0.3">
      <c r="B384" s="57"/>
    </row>
    <row r="385" spans="2:2" x14ac:dyDescent="0.3">
      <c r="B385" s="57"/>
    </row>
    <row r="386" spans="2:2" x14ac:dyDescent="0.3">
      <c r="B386" s="57"/>
    </row>
    <row r="387" spans="2:2" x14ac:dyDescent="0.3">
      <c r="B387" s="57"/>
    </row>
    <row r="388" spans="2:2" x14ac:dyDescent="0.3">
      <c r="B388" s="57"/>
    </row>
    <row r="389" spans="2:2" x14ac:dyDescent="0.3">
      <c r="B389" s="57"/>
    </row>
  </sheetData>
  <autoFilter ref="A1:AI373" xr:uid="{619E3FFB-0F1F-4CBA-9BB5-D8817337CCC1}"/>
  <mergeCells count="2">
    <mergeCell ref="B378:B384"/>
    <mergeCell ref="B385:B3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All_India_Index_Upto_April23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Sharma</cp:lastModifiedBy>
  <dcterms:created xsi:type="dcterms:W3CDTF">2026-03-10T01:39:48Z</dcterms:created>
  <dcterms:modified xsi:type="dcterms:W3CDTF">2026-05-05T06:41:24Z</dcterms:modified>
</cp:coreProperties>
</file>